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ude\DoktoraTez\AI-Tests\github\data\workbooks\"/>
    </mc:Choice>
  </mc:AlternateContent>
  <xr:revisionPtr revIDLastSave="0" documentId="13_ncr:1_{9C59A721-371C-43C4-A690-C32912D048DE}"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Responses" sheetId="2" r:id="rId2"/>
    <sheet name="Sentences" sheetId="3" r:id="rId3"/>
    <sheet name="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8" i="4" l="1"/>
  <c r="B58" i="4"/>
  <c r="C57" i="4"/>
  <c r="B57" i="4"/>
  <c r="C56" i="4"/>
  <c r="B56" i="4"/>
  <c r="F52" i="4"/>
  <c r="E52" i="4"/>
  <c r="D52" i="4"/>
  <c r="C52" i="4"/>
  <c r="B52" i="4"/>
  <c r="F51" i="4"/>
  <c r="E51" i="4"/>
  <c r="D51" i="4"/>
  <c r="C51" i="4"/>
  <c r="B51" i="4"/>
  <c r="F50" i="4"/>
  <c r="E50" i="4"/>
  <c r="D50" i="4"/>
  <c r="C50" i="4"/>
  <c r="B50" i="4"/>
  <c r="F49" i="4"/>
  <c r="E49" i="4"/>
  <c r="D49" i="4"/>
  <c r="C49" i="4"/>
  <c r="B49" i="4"/>
  <c r="F48" i="4"/>
  <c r="E48" i="4"/>
  <c r="D48" i="4"/>
  <c r="C48" i="4"/>
  <c r="B48" i="4"/>
  <c r="D44" i="4"/>
  <c r="C44" i="4"/>
  <c r="B44" i="4"/>
  <c r="D43" i="4"/>
  <c r="C43" i="4"/>
  <c r="B43" i="4"/>
  <c r="D42" i="4"/>
  <c r="C42" i="4"/>
  <c r="B42" i="4"/>
  <c r="D41" i="4"/>
  <c r="C41" i="4"/>
  <c r="B41" i="4"/>
  <c r="D40" i="4"/>
  <c r="C40" i="4"/>
  <c r="B40" i="4"/>
  <c r="D33" i="4"/>
  <c r="C33" i="4"/>
  <c r="B33" i="4"/>
  <c r="D32" i="4"/>
  <c r="C32" i="4"/>
  <c r="B32" i="4"/>
  <c r="D31" i="4"/>
  <c r="C31" i="4"/>
  <c r="B31" i="4"/>
  <c r="D30" i="4"/>
  <c r="C30" i="4"/>
  <c r="B30" i="4"/>
  <c r="D29" i="4"/>
  <c r="C29" i="4"/>
  <c r="B29" i="4"/>
  <c r="D25" i="4"/>
  <c r="C25" i="4"/>
  <c r="B25" i="4"/>
  <c r="D24" i="4"/>
  <c r="C24" i="4"/>
  <c r="B24" i="4"/>
  <c r="D23" i="4"/>
  <c r="C23" i="4"/>
  <c r="B23" i="4"/>
  <c r="D22" i="4"/>
  <c r="C22" i="4"/>
  <c r="B22" i="4"/>
  <c r="D21" i="4"/>
  <c r="C21" i="4"/>
  <c r="B21" i="4"/>
  <c r="D17" i="4"/>
  <c r="C17" i="4"/>
  <c r="B17" i="4"/>
  <c r="D16" i="4"/>
  <c r="C16" i="4"/>
  <c r="B16" i="4"/>
  <c r="D15" i="4"/>
  <c r="C15" i="4"/>
  <c r="B15" i="4"/>
  <c r="D14" i="4"/>
  <c r="C14" i="4"/>
  <c r="B14" i="4"/>
  <c r="D13" i="4"/>
  <c r="C13" i="4"/>
  <c r="B13" i="4"/>
  <c r="I9" i="4"/>
  <c r="F9" i="4"/>
  <c r="E9" i="4"/>
  <c r="D9" i="4"/>
  <c r="C9" i="4"/>
  <c r="B9" i="4"/>
  <c r="I8" i="4"/>
  <c r="F8" i="4"/>
  <c r="E8" i="4"/>
  <c r="D8" i="4"/>
  <c r="C8" i="4"/>
  <c r="B8" i="4"/>
  <c r="I7" i="4"/>
  <c r="F7" i="4"/>
  <c r="E7" i="4"/>
  <c r="D7" i="4"/>
  <c r="C7" i="4"/>
  <c r="B7" i="4"/>
  <c r="I6" i="4"/>
  <c r="F6" i="4"/>
  <c r="E6" i="4"/>
  <c r="D6" i="4"/>
  <c r="C6" i="4"/>
  <c r="B6" i="4"/>
  <c r="I5" i="4"/>
  <c r="F5" i="4"/>
  <c r="E5" i="4"/>
  <c r="D5" i="4"/>
  <c r="C5" i="4"/>
  <c r="B5" i="4"/>
  <c r="S236" i="3"/>
  <c r="L236" i="3"/>
  <c r="S235" i="3"/>
  <c r="L235" i="3"/>
  <c r="S234" i="3"/>
  <c r="L234" i="3"/>
  <c r="S233" i="3"/>
  <c r="L233" i="3"/>
  <c r="S232" i="3"/>
  <c r="L232" i="3"/>
  <c r="S231" i="3"/>
  <c r="L231" i="3"/>
  <c r="S230" i="3"/>
  <c r="L230" i="3"/>
  <c r="S229" i="3"/>
  <c r="L229" i="3"/>
  <c r="S228" i="3"/>
  <c r="L228" i="3"/>
  <c r="S227" i="3"/>
  <c r="L227" i="3"/>
  <c r="S226" i="3"/>
  <c r="L226" i="3"/>
  <c r="S225" i="3"/>
  <c r="L225" i="3"/>
  <c r="S224" i="3"/>
  <c r="L224" i="3"/>
  <c r="S223" i="3"/>
  <c r="L223" i="3"/>
  <c r="S222" i="3"/>
  <c r="L222" i="3"/>
  <c r="S221" i="3"/>
  <c r="L221" i="3"/>
  <c r="S220" i="3"/>
  <c r="L220" i="3"/>
  <c r="S219" i="3"/>
  <c r="L219" i="3"/>
  <c r="S218" i="3"/>
  <c r="L218" i="3"/>
  <c r="S217" i="3"/>
  <c r="L217" i="3"/>
  <c r="S216" i="3"/>
  <c r="L216" i="3"/>
  <c r="S215" i="3"/>
  <c r="L215" i="3"/>
  <c r="S214" i="3"/>
  <c r="L214" i="3"/>
  <c r="S213" i="3"/>
  <c r="L213" i="3"/>
  <c r="S212" i="3"/>
  <c r="L212" i="3"/>
  <c r="S211" i="3"/>
  <c r="L211" i="3"/>
  <c r="S210" i="3"/>
  <c r="L210" i="3"/>
  <c r="S209" i="3"/>
  <c r="L209" i="3"/>
  <c r="S208" i="3"/>
  <c r="L208" i="3"/>
  <c r="S207" i="3"/>
  <c r="L207" i="3"/>
  <c r="S206" i="3"/>
  <c r="L206" i="3"/>
  <c r="S205" i="3"/>
  <c r="L205" i="3"/>
  <c r="S204" i="3"/>
  <c r="L204" i="3"/>
  <c r="S203" i="3"/>
  <c r="L203" i="3"/>
  <c r="S202" i="3"/>
  <c r="L202" i="3"/>
  <c r="S201" i="3"/>
  <c r="L201" i="3"/>
  <c r="S200" i="3"/>
  <c r="L200" i="3"/>
  <c r="S199" i="3"/>
  <c r="L199" i="3"/>
  <c r="S198" i="3"/>
  <c r="L198" i="3"/>
  <c r="S197" i="3"/>
  <c r="L197" i="3"/>
  <c r="S196" i="3"/>
  <c r="L196" i="3"/>
  <c r="S195" i="3"/>
  <c r="L195" i="3"/>
  <c r="S194" i="3"/>
  <c r="L194" i="3"/>
  <c r="S193" i="3"/>
  <c r="L193" i="3"/>
  <c r="S192" i="3"/>
  <c r="L192" i="3"/>
  <c r="S191" i="3"/>
  <c r="L191" i="3"/>
  <c r="S190" i="3"/>
  <c r="L190" i="3"/>
  <c r="S189" i="3"/>
  <c r="L189" i="3"/>
  <c r="S188" i="3"/>
  <c r="L188" i="3"/>
  <c r="S187" i="3"/>
  <c r="L187" i="3"/>
  <c r="S186" i="3"/>
  <c r="L186" i="3"/>
  <c r="S185" i="3"/>
  <c r="L185" i="3"/>
  <c r="S184" i="3"/>
  <c r="L184" i="3"/>
  <c r="S183" i="3"/>
  <c r="L183" i="3"/>
  <c r="S182" i="3"/>
  <c r="L182" i="3"/>
  <c r="S181" i="3"/>
  <c r="L181" i="3"/>
  <c r="S180" i="3"/>
  <c r="L180" i="3"/>
  <c r="S179" i="3"/>
  <c r="L179" i="3"/>
  <c r="S178" i="3"/>
  <c r="L178" i="3"/>
  <c r="S177" i="3"/>
  <c r="L177" i="3"/>
  <c r="S176" i="3"/>
  <c r="L176" i="3"/>
  <c r="S175" i="3"/>
  <c r="L175" i="3"/>
  <c r="S174" i="3"/>
  <c r="L174" i="3"/>
  <c r="S173" i="3"/>
  <c r="L173" i="3"/>
  <c r="S172" i="3"/>
  <c r="L172" i="3"/>
  <c r="S171" i="3"/>
  <c r="L171" i="3"/>
  <c r="S170" i="3"/>
  <c r="L170" i="3"/>
  <c r="S169" i="3"/>
  <c r="L169" i="3"/>
  <c r="S168" i="3"/>
  <c r="L168" i="3"/>
  <c r="S167" i="3"/>
  <c r="L167" i="3"/>
  <c r="S166" i="3"/>
  <c r="L166" i="3"/>
  <c r="S165" i="3"/>
  <c r="L165" i="3"/>
  <c r="S164" i="3"/>
  <c r="L164" i="3"/>
  <c r="S163" i="3"/>
  <c r="L163" i="3"/>
  <c r="S162" i="3"/>
  <c r="L162" i="3"/>
  <c r="S161" i="3"/>
  <c r="L161" i="3"/>
  <c r="S160" i="3"/>
  <c r="L160" i="3"/>
  <c r="S159" i="3"/>
  <c r="L159" i="3"/>
  <c r="S158" i="3"/>
  <c r="L158" i="3"/>
  <c r="S157" i="3"/>
  <c r="L157" i="3"/>
  <c r="S156" i="3"/>
  <c r="L156" i="3"/>
  <c r="S155" i="3"/>
  <c r="L155" i="3"/>
  <c r="S154" i="3"/>
  <c r="L154" i="3"/>
  <c r="S153" i="3"/>
  <c r="L153" i="3"/>
  <c r="S152" i="3"/>
  <c r="L152" i="3"/>
  <c r="S151" i="3"/>
  <c r="L151" i="3"/>
  <c r="S150" i="3"/>
  <c r="L150" i="3"/>
  <c r="S149" i="3"/>
  <c r="L149" i="3"/>
  <c r="S148" i="3"/>
  <c r="L148" i="3"/>
  <c r="S147" i="3"/>
  <c r="L147" i="3"/>
  <c r="S146" i="3"/>
  <c r="L146" i="3"/>
  <c r="S145" i="3"/>
  <c r="L145" i="3"/>
  <c r="S144" i="3"/>
  <c r="L144" i="3"/>
  <c r="S143" i="3"/>
  <c r="L143" i="3"/>
  <c r="S142" i="3"/>
  <c r="L142" i="3"/>
  <c r="S141" i="3"/>
  <c r="L141" i="3"/>
  <c r="S140" i="3"/>
  <c r="L140" i="3"/>
  <c r="S139" i="3"/>
  <c r="L139" i="3"/>
  <c r="S138" i="3"/>
  <c r="L138" i="3"/>
  <c r="S137" i="3"/>
  <c r="L137" i="3"/>
  <c r="S136" i="3"/>
  <c r="L136" i="3"/>
  <c r="S135" i="3"/>
  <c r="L135" i="3"/>
  <c r="S134" i="3"/>
  <c r="L134" i="3"/>
  <c r="S133" i="3"/>
  <c r="L133" i="3"/>
  <c r="S132" i="3"/>
  <c r="L132" i="3"/>
  <c r="S131" i="3"/>
  <c r="L131" i="3"/>
  <c r="S130" i="3"/>
  <c r="L130" i="3"/>
  <c r="S129" i="3"/>
  <c r="L129" i="3"/>
  <c r="S128" i="3"/>
  <c r="L128" i="3"/>
  <c r="S127" i="3"/>
  <c r="L127" i="3"/>
  <c r="S126" i="3"/>
  <c r="L126" i="3"/>
  <c r="S125" i="3"/>
  <c r="L125" i="3"/>
  <c r="S124" i="3"/>
  <c r="L124" i="3"/>
  <c r="S123" i="3"/>
  <c r="L123" i="3"/>
  <c r="S122" i="3"/>
  <c r="L122" i="3"/>
  <c r="S121" i="3"/>
  <c r="L121" i="3"/>
  <c r="S120" i="3"/>
  <c r="L120" i="3"/>
  <c r="S119" i="3"/>
  <c r="L119" i="3"/>
  <c r="S118" i="3"/>
  <c r="L118" i="3"/>
  <c r="S117" i="3"/>
  <c r="L117" i="3"/>
  <c r="S116" i="3"/>
  <c r="L116" i="3"/>
  <c r="S115" i="3"/>
  <c r="L115" i="3"/>
  <c r="S114" i="3"/>
  <c r="L114" i="3"/>
  <c r="S113" i="3"/>
  <c r="L113" i="3"/>
  <c r="S112" i="3"/>
  <c r="L112" i="3"/>
  <c r="S111" i="3"/>
  <c r="L111" i="3"/>
  <c r="S110" i="3"/>
  <c r="L110" i="3"/>
  <c r="S109" i="3"/>
  <c r="L109" i="3"/>
  <c r="S108" i="3"/>
  <c r="L108" i="3"/>
  <c r="S107" i="3"/>
  <c r="L107" i="3"/>
  <c r="S106" i="3"/>
  <c r="L106" i="3"/>
  <c r="S105" i="3"/>
  <c r="L105" i="3"/>
  <c r="S104" i="3"/>
  <c r="L104" i="3"/>
  <c r="S103" i="3"/>
  <c r="L103" i="3"/>
  <c r="S102" i="3"/>
  <c r="L102" i="3"/>
  <c r="S101" i="3"/>
  <c r="L101" i="3"/>
  <c r="S100" i="3"/>
  <c r="L100" i="3"/>
  <c r="S99" i="3"/>
  <c r="L99" i="3"/>
  <c r="S98" i="3"/>
  <c r="L98" i="3"/>
  <c r="S97" i="3"/>
  <c r="L97" i="3"/>
  <c r="S96" i="3"/>
  <c r="L96" i="3"/>
  <c r="S95" i="3"/>
  <c r="L95" i="3"/>
  <c r="S94" i="3"/>
  <c r="L94" i="3"/>
  <c r="S93" i="3"/>
  <c r="L93" i="3"/>
  <c r="S92" i="3"/>
  <c r="L92" i="3"/>
  <c r="S91" i="3"/>
  <c r="L91" i="3"/>
  <c r="S90" i="3"/>
  <c r="L90" i="3"/>
  <c r="S89" i="3"/>
  <c r="L89" i="3"/>
  <c r="S88" i="3"/>
  <c r="L88" i="3"/>
  <c r="S87" i="3"/>
  <c r="L87" i="3"/>
  <c r="S86" i="3"/>
  <c r="L86" i="3"/>
  <c r="S85" i="3"/>
  <c r="L85" i="3"/>
  <c r="S84" i="3"/>
  <c r="L84" i="3"/>
  <c r="S83" i="3"/>
  <c r="L83" i="3"/>
  <c r="S82" i="3"/>
  <c r="L82" i="3"/>
  <c r="S81" i="3"/>
  <c r="L81" i="3"/>
  <c r="S80" i="3"/>
  <c r="L80" i="3"/>
  <c r="S79" i="3"/>
  <c r="L79" i="3"/>
  <c r="S78" i="3"/>
  <c r="L78" i="3"/>
  <c r="S77" i="3"/>
  <c r="L77" i="3"/>
  <c r="S76" i="3"/>
  <c r="L76" i="3"/>
  <c r="S75" i="3"/>
  <c r="L75" i="3"/>
  <c r="S74" i="3"/>
  <c r="L74" i="3"/>
  <c r="S73" i="3"/>
  <c r="L73" i="3"/>
  <c r="S72" i="3"/>
  <c r="L72" i="3"/>
  <c r="S71" i="3"/>
  <c r="L71" i="3"/>
  <c r="S70" i="3"/>
  <c r="L70" i="3"/>
  <c r="S69" i="3"/>
  <c r="L69" i="3"/>
  <c r="S68" i="3"/>
  <c r="L68" i="3"/>
  <c r="S67" i="3"/>
  <c r="L67" i="3"/>
  <c r="S66" i="3"/>
  <c r="L66" i="3"/>
  <c r="S65" i="3"/>
  <c r="L65" i="3"/>
  <c r="S64" i="3"/>
  <c r="L64" i="3"/>
  <c r="S63" i="3"/>
  <c r="L63" i="3"/>
  <c r="S62" i="3"/>
  <c r="L62" i="3"/>
  <c r="S61" i="3"/>
  <c r="L61" i="3"/>
  <c r="S60" i="3"/>
  <c r="L60" i="3"/>
  <c r="S59" i="3"/>
  <c r="L59" i="3"/>
  <c r="S58" i="3"/>
  <c r="L58" i="3"/>
  <c r="S57" i="3"/>
  <c r="L57" i="3"/>
  <c r="S56" i="3"/>
  <c r="L56" i="3"/>
  <c r="S55" i="3"/>
  <c r="L55" i="3"/>
  <c r="S54" i="3"/>
  <c r="L54" i="3"/>
  <c r="S53" i="3"/>
  <c r="L53" i="3"/>
  <c r="S52" i="3"/>
  <c r="L52" i="3"/>
  <c r="S51" i="3"/>
  <c r="L51" i="3"/>
  <c r="S50" i="3"/>
  <c r="L50" i="3"/>
  <c r="S49" i="3"/>
  <c r="L49" i="3"/>
  <c r="S48" i="3"/>
  <c r="L48" i="3"/>
  <c r="S47" i="3"/>
  <c r="L47" i="3"/>
  <c r="S46" i="3"/>
  <c r="L46" i="3"/>
  <c r="S45" i="3"/>
  <c r="L45" i="3"/>
  <c r="S44" i="3"/>
  <c r="L44" i="3"/>
  <c r="S43" i="3"/>
  <c r="L43" i="3"/>
  <c r="S42" i="3"/>
  <c r="L42" i="3"/>
  <c r="S41" i="3"/>
  <c r="L41" i="3"/>
  <c r="S40" i="3"/>
  <c r="L40" i="3"/>
  <c r="S39" i="3"/>
  <c r="L39" i="3"/>
  <c r="S38" i="3"/>
  <c r="L38" i="3"/>
  <c r="S37" i="3"/>
  <c r="L37" i="3"/>
  <c r="S36" i="3"/>
  <c r="L36" i="3"/>
  <c r="S35" i="3"/>
  <c r="L35" i="3"/>
  <c r="S34" i="3"/>
  <c r="L34" i="3"/>
  <c r="S33" i="3"/>
  <c r="L33" i="3"/>
  <c r="S32" i="3"/>
  <c r="L32" i="3"/>
  <c r="S31" i="3"/>
  <c r="L31" i="3"/>
  <c r="S30" i="3"/>
  <c r="L30" i="3"/>
  <c r="S29" i="3"/>
  <c r="L29" i="3"/>
  <c r="S28" i="3"/>
  <c r="L28" i="3"/>
  <c r="S27" i="3"/>
  <c r="L27" i="3"/>
  <c r="S26" i="3"/>
  <c r="L26" i="3"/>
  <c r="S25" i="3"/>
  <c r="L25" i="3"/>
  <c r="S24" i="3"/>
  <c r="L24" i="3"/>
  <c r="S23" i="3"/>
  <c r="L23" i="3"/>
  <c r="S22" i="3"/>
  <c r="L22" i="3"/>
  <c r="S21" i="3"/>
  <c r="L21" i="3"/>
  <c r="S20" i="3"/>
  <c r="L20" i="3"/>
  <c r="S19" i="3"/>
  <c r="L19" i="3"/>
  <c r="S18" i="3"/>
  <c r="L18" i="3"/>
  <c r="S17" i="3"/>
  <c r="L17" i="3"/>
  <c r="S16" i="3"/>
  <c r="L16" i="3"/>
  <c r="S15" i="3"/>
  <c r="L15" i="3"/>
  <c r="S14" i="3"/>
  <c r="L14" i="3"/>
  <c r="S13" i="3"/>
  <c r="L13" i="3"/>
  <c r="S12" i="3"/>
  <c r="L12" i="3"/>
  <c r="S11" i="3"/>
  <c r="L11" i="3"/>
  <c r="S10" i="3"/>
  <c r="L10" i="3"/>
  <c r="S9" i="3"/>
  <c r="L9" i="3"/>
  <c r="S8" i="3"/>
  <c r="L8" i="3"/>
  <c r="S7" i="3"/>
  <c r="L7" i="3"/>
  <c r="S6" i="3"/>
  <c r="L6" i="3"/>
  <c r="S5" i="3"/>
  <c r="L5" i="3"/>
  <c r="S4" i="3"/>
  <c r="L4" i="3"/>
  <c r="S3" i="3"/>
  <c r="L3" i="3"/>
  <c r="S2" i="3"/>
  <c r="L2" i="3"/>
  <c r="G48" i="4" l="1"/>
  <c r="G52" i="4"/>
  <c r="G49" i="4"/>
  <c r="G51" i="4"/>
  <c r="G50" i="4"/>
  <c r="B36" i="4"/>
  <c r="G5" i="4"/>
  <c r="G7" i="4"/>
  <c r="G9" i="4"/>
  <c r="G6" i="4"/>
  <c r="G8" i="4"/>
  <c r="H8" i="4"/>
  <c r="H7" i="4"/>
  <c r="H6" i="4"/>
  <c r="H5" i="4"/>
  <c r="H9" i="4"/>
</calcChain>
</file>

<file path=xl/sharedStrings.xml><?xml version="1.0" encoding="utf-8"?>
<sst xmlns="http://schemas.openxmlformats.org/spreadsheetml/2006/main" count="1535" uniqueCount="564">
  <si>
    <t>ady-kbd AI Language Testing Tool</t>
  </si>
  <si>
    <t/>
  </si>
  <si>
    <t>What this test measures</t>
  </si>
  <si>
    <t>Bu test neyi ölçüyor</t>
  </si>
  <si>
    <t>Что измеряет этот тест</t>
  </si>
  <si>
    <t>This test does not measure translation quality, but Adyghe conversational competence. Every question is a request expressed in Adyghe. What is judged is whether the tool understood this request and attempted to meet it. Questions four and five contain a translation task, but what is measured is not the accuracy of the translation, but whether the request was understood: even a wrong translation is still a translation, and shows that the request was understood. Returning a Turkish answer to a Turkish paragraph would mean the request was not understood.</t>
  </si>
  <si>
    <t>Bu test çeviri kalitesini değil, Adıgece sohbet yetkinliğini ölçer. Her soru Adıgece ifade edilmiş bir istektir. Yargılanan şey, aracın bu isteği anlayıp anlamadığı ve karşılamaya çalışıp çalışmadığıdır. Dördüncü ve beşinci sorularda bir çeviri görevi vardır, ama ölçülen çevirinin doğruluğu değil, isteğin anlaşılmasıdır: yanlış çeviri de bir çeviridir ve isteğin anlaşıldığını gösterir. Türkçe bir paragraf verildiğinde Türkçe yanıt dönmesi, isteğin anlaşılmadığı anlamına gelirdi.</t>
  </si>
  <si>
    <t>Этот тест измеряет не качество перевода, а разговорную компетентность на адыгейском языке. Каждый вопрос — это просьба, выраженная на адыгейском. Оценивается то, понял ли инструмент эту просьбу и попытался ли её выполнить. В четвёртом и пятом вопросах есть задача перевода, но измеряется не точность перевода, а понимание просьбы: даже неверный перевод остаётся переводом и показывает, что просьба была понята. Если на турецкий абзац был бы дан турецкий ответ, это означало бы, что просьба не была понята.</t>
  </si>
  <si>
    <t>Metadata</t>
  </si>
  <si>
    <t>Künye</t>
  </si>
  <si>
    <t>Метаданные</t>
  </si>
  <si>
    <t>Test / Round
Test / Tur
Тест / Раунд</t>
  </si>
  <si>
    <t>Test 1 (round1)</t>
  </si>
  <si>
    <t>Generated (UTC)
Üretildi (UTC)
Создано (UTC)</t>
  </si>
  <si>
    <t>2026-09-17 11:34:05</t>
  </si>
  <si>
    <t>Source files
Kaynak dosyalar
Исходные файлы</t>
  </si>
  <si>
    <t>Test1-AI-Tool1-Result.txt, Test1-AI-Tool2-Result.txt, Test1-AI-Tool3-Result.txt, Test1-AI-Tool4-Result.txt, Test1-AI-Tool5-Result.txt</t>
  </si>
  <si>
    <t>Tool version
Araç sürümü
Версия инструмента</t>
  </si>
  <si>
    <t>ady-kbd AI Language Testing Tool 1.0.0</t>
  </si>
  <si>
    <t>Evaluators
Değerlendiriciler
Оценщики</t>
  </si>
  <si>
    <t>Mehmet Uğur Nemlioğlu, Dr. Saida Abregova Nemlioğlu</t>
  </si>
  <si>
    <t>Evaluation method
Değerlendirme yöntemi
Метод оценки</t>
  </si>
  <si>
    <t>Consensus: both evaluators read and discuss together, and record one agreed judgement
Uzlaşı: ikisi birlikte okur, tartışır, tek hüküm kaydeder
Консенсус: оба оценщика читают и обсуждают вместе и записывают одно согласованное решение</t>
  </si>
  <si>
    <t>Evaluation date (fill in)
Değerlendirme tarihi (doldurun)
Дата оценки (заполните)</t>
  </si>
  <si>
    <t>Total responses
Toplam yanıt
Всего ответов</t>
  </si>
  <si>
    <t>35</t>
  </si>
  <si>
    <t>Decision table</t>
  </si>
  <si>
    <t>Karar tablosu</t>
  </si>
  <si>
    <t>Таблица решений</t>
  </si>
  <si>
    <t>Code</t>
  </si>
  <si>
    <t>Question</t>
  </si>
  <si>
    <t>Soru</t>
  </si>
  <si>
    <t>Вопрос</t>
  </si>
  <si>
    <t>FRM: form / biçim / форма</t>
  </si>
  <si>
    <t>Is the right word chosen, but its affix or inflection wrong?</t>
  </si>
  <si>
    <t>Doğru sözcük seçilmiş ama eki ya da çekimi mi yanlış?</t>
  </si>
  <si>
    <t>Слово выбрано правильно, но неверен его аффикс или словоизменение?</t>
  </si>
  <si>
    <t>CHO: choice / seçim / выбор</t>
  </si>
  <si>
    <t>Is the word well formed, but the wrong word for the intended meaning?</t>
  </si>
  <si>
    <t>Sözcük doğru kurulmuş ama anlam için yanlış sözcük mü seçilmiş?</t>
  </si>
  <si>
    <t>Слово образовано правильно, но по смыслу выбрано не то слово?</t>
  </si>
  <si>
    <t>MIX: mixing / karışma / смешение</t>
  </si>
  <si>
    <t>Is the word taken from another language and left in that language's own form? The contact language is recorded as well.</t>
  </si>
  <si>
    <t>Sözcük başka bir dilden, o dilin kendi biçimiyle olduğu gibi mi alınmış? Kaynak dil ayrıca kaydedilir.</t>
  </si>
  <si>
    <t>Слово взято из другого языка и оставлено в его собственной форме? Язык-источник записывается отдельно.</t>
  </si>
  <si>
    <t>INV: invented / uydurma / выдуманное</t>
  </si>
  <si>
    <t>Even if the root and affixes are familiar, is this a combination the language does not use?</t>
  </si>
  <si>
    <t>Kök ve ekler tanıdık olsa bile, bu birleşimi dil kullanmıyor mu?</t>
  </si>
  <si>
    <t>Даже если корень и аффиксы знакомы, такое сочетание в языке не используется?</t>
  </si>
  <si>
    <t>TRM: term / terim / термин</t>
  </si>
  <si>
    <t>Is the word an established loan, adapted to the language, used where a recognised native term exists? This is not an error.</t>
  </si>
  <si>
    <t>Sözcük, dile uyarlanmış yerleşik bir alıntı ama kabul görmüş yerli bir karşılığı var mı? Hata değildir.</t>
  </si>
  <si>
    <t>Слово — устоявшееся заимствование, приспособленное к языку, но есть признанный местный термин? Это не ошибка.</t>
  </si>
  <si>
    <t>Each word is counted under exactly one code. Read the table top to bottom; the code of the first row that answers "yes" is that word's code. Counting a word under two categories at once corrupts both the correct-word count and the contact-language total.</t>
  </si>
  <si>
    <t>Her sözcük yalnızca bir koda sayılır. Tabloyu yukarıdan aşağıya okuyun; ilk "evet" yanıtını veren satırın kodu o sözcüğün kodudur. Bir sözcüğü iki kategoriye birden saymak, doğru sözcük sayısını ve temas dili toplamını bozar.</t>
  </si>
  <si>
    <t>Каждое слово засчитывается только по одному коду. Читайте таблицу сверху вниз; код той строки, на которую первым получен ответ «да», и есть код этого слова. Если засчитать слово сразу в две категории, это испортит и подсчёт правильных слов, и сумму языков контаката.</t>
  </si>
  <si>
    <t>A practical way to tell these three apart: try writing the word correctly. If you can write a proper form of the same word, it is FRM; if you can, but what you write is a different word, it is CHO; if there is no correct form to write, it is INV.</t>
  </si>
  <si>
    <t>Bu üçünü ayırmanın pratik yolu: sözcüğün doğrusunu yazmayı dene. Aynı sözcüğün düzgün hâlini yazabiliyorsan FRM; yazabiliyorsun ama yazdığın başka bir sözcükse CHO; yazacak doğru bir hâl yoksa INV.</t>
  </si>
  <si>
    <t>Практический способ различить эти три: попробуйте написать слово правильно. Если вы можете написать правильную форму того же слова — это FRM; если можете, но написанное — другое слово, это CHO; если правильной формы не существует — это INV.</t>
  </si>
  <si>
    <t>The boundary between MIX and TRM is adaptation. A word left in the source language's form is MIX; a word adapted to this language's morphology and part of its lexicon is TRM -- and TRM is not an error.</t>
  </si>
  <si>
    <t>MIX ile TRM arasındaki ayrım uyarlamadır. Sözcük kaynak dilin biçiminde duruyorsa MIX; dilin biçimbilgisine uyarlanmış ve söz varlığına girmişse TRM — ve TRM hata değildir.</t>
  </si>
  <si>
    <t>Граница между MIX и TRM — это адаптация. Слово, оставленное в форме языка-источника, — это MIX; слово, приспособленное к морфологии этого языка и вошедшее в его словарный состав, — это TRM, и TRM не является ошибкой.</t>
  </si>
  <si>
    <t>Code dictionary</t>
  </si>
  <si>
    <t>Kod sözlüğü</t>
  </si>
  <si>
    <t>Словарь кодов</t>
  </si>
  <si>
    <t>EN</t>
  </si>
  <si>
    <t>TR</t>
  </si>
  <si>
    <t>RU</t>
  </si>
  <si>
    <t>Sentence verdict (Sentences sheet, column G)</t>
  </si>
  <si>
    <t>Cümle yargısı (Cümleler sayfası, G sütunu)</t>
  </si>
  <si>
    <t>Оценка предложения (лист Предложения, столбец G)</t>
  </si>
  <si>
    <t>C1</t>
  </si>
  <si>
    <t>correct</t>
  </si>
  <si>
    <t>doğru</t>
  </si>
  <si>
    <t>правильно</t>
  </si>
  <si>
    <t>C2</t>
  </si>
  <si>
    <t>faulty but comprehensible</t>
  </si>
  <si>
    <t>yanlış ama anlaşılır</t>
  </si>
  <si>
    <t>понятно</t>
  </si>
  <si>
    <t>C3</t>
  </si>
  <si>
    <t>faulty and incomprehensible</t>
  </si>
  <si>
    <t>yanlış ve anlamsız</t>
  </si>
  <si>
    <t>непонятно</t>
  </si>
  <si>
    <t>Word codes (Sentences sheet: error codes H-K, term choice M)</t>
  </si>
  <si>
    <t>Sözcük kodları (Cümleler sayfası: hata kodları H–K, terim tercihi M)</t>
  </si>
  <si>
    <t>Коды слов (лист Предложения: коды ошибок H-K, выбор термина M)</t>
  </si>
  <si>
    <t>wrong form</t>
  </si>
  <si>
    <t>biçim hatası</t>
  </si>
  <si>
    <t>ошибка формы</t>
  </si>
  <si>
    <t>wrong word choice</t>
  </si>
  <si>
    <t>yanlış sözcük</t>
  </si>
  <si>
    <t>неверный выбор слова</t>
  </si>
  <si>
    <t>invented word</t>
  </si>
  <si>
    <t>uydurma</t>
  </si>
  <si>
    <t>выдуманное слово</t>
  </si>
  <si>
    <t>code mixing</t>
  </si>
  <si>
    <t>karışma</t>
  </si>
  <si>
    <t>смешение кодов</t>
  </si>
  <si>
    <t>term choice (not an error)</t>
  </si>
  <si>
    <t>terim tercihi (hata değil)</t>
  </si>
  <si>
    <t>выбор термина (не ошибка)</t>
  </si>
  <si>
    <t>Language compliance (Responses sheet, column I)</t>
  </si>
  <si>
    <t>Dil uyumu (Yanıtlar sayfası, I sütunu)</t>
  </si>
  <si>
    <t>Соответствие языку (лист Ответы, столбец I)</t>
  </si>
  <si>
    <t>TAM</t>
  </si>
  <si>
    <t>full</t>
  </si>
  <si>
    <t>tam</t>
  </si>
  <si>
    <t>полное</t>
  </si>
  <si>
    <t>KISMEN</t>
  </si>
  <si>
    <t>partial</t>
  </si>
  <si>
    <t>kısmen</t>
  </si>
  <si>
    <t>частичное</t>
  </si>
  <si>
    <t>UYUM_YOK</t>
  </si>
  <si>
    <t>none</t>
  </si>
  <si>
    <t>uyum yok</t>
  </si>
  <si>
    <t>нет</t>
  </si>
  <si>
    <t>Semantic adequacy (Responses sheet, column J)</t>
  </si>
  <si>
    <t>Semantik yeterlik (Yanıtlar sayfası, J sütunu)</t>
  </si>
  <si>
    <t>Семантическая адекватность (лист Ответы, столбец J)</t>
  </si>
  <si>
    <t>KARSILADI</t>
  </si>
  <si>
    <t>met the request</t>
  </si>
  <si>
    <t>karşıladı</t>
  </si>
  <si>
    <t>отвечает</t>
  </si>
  <si>
    <t>KISMEN_KARSILADI</t>
  </si>
  <si>
    <t>partially met it</t>
  </si>
  <si>
    <t>kısmen karşıladı</t>
  </si>
  <si>
    <t>частично</t>
  </si>
  <si>
    <t>ALAKASIZ</t>
  </si>
  <si>
    <t>unrelated</t>
  </si>
  <si>
    <t>alakasız</t>
  </si>
  <si>
    <t>не по теме</t>
  </si>
  <si>
    <t>Marked (Responses sheet, column K)</t>
  </si>
  <si>
    <t>İşaretlendi (Yanıtlar sayfası, K sütunu)</t>
  </si>
  <si>
    <t>Размечено (лист Ответы, столбец K)</t>
  </si>
  <si>
    <t>EVET</t>
  </si>
  <si>
    <t>yes</t>
  </si>
  <si>
    <t>evet</t>
  </si>
  <si>
    <t>да</t>
  </si>
  <si>
    <t>HAYIR</t>
  </si>
  <si>
    <t>no</t>
  </si>
  <si>
    <t>hayır</t>
  </si>
  <si>
    <t>Question 7 verdict (Responses sheet, column L)</t>
  </si>
  <si>
    <t>7. soru yargısı (Yanıtlar sayfası, L sütunu)</t>
  </si>
  <si>
    <t>Оценка вопроса 7 (лист Ответы, столбец L)</t>
  </si>
  <si>
    <t>FARKI_DOGRU_BULDU</t>
  </si>
  <si>
    <t>processed both texts</t>
  </si>
  <si>
    <t>iki metni de işlemiştir</t>
  </si>
  <si>
    <t>обработал оба текста</t>
  </si>
  <si>
    <t>FARK_YOK_DEDI</t>
  </si>
  <si>
    <t>did not align the texts</t>
  </si>
  <si>
    <t>metinleri hizalamamıştır</t>
  </si>
  <si>
    <t>не сопоставил тексты</t>
  </si>
  <si>
    <t>FARKI_YANLIS_BULDU</t>
  </si>
  <si>
    <t>invented a difference that is not there (hallucination)</t>
  </si>
  <si>
    <t>olmayan bir fark uydurmuştur (halüsinasyon)</t>
  </si>
  <si>
    <t>придумал несуществующее различие (галлюцинация)</t>
  </si>
  <si>
    <t>Contact languages (Sentences sheet, columns N-R)</t>
  </si>
  <si>
    <t>Temas dilleri (Cümleler sayfası, N–R sütunları)</t>
  </si>
  <si>
    <t>Языки контакта (лист Предложения, столбцы N-R)</t>
  </si>
  <si>
    <t>KBD</t>
  </si>
  <si>
    <t>Kabardian</t>
  </si>
  <si>
    <t>Kabartayca</t>
  </si>
  <si>
    <t>кабардинский</t>
  </si>
  <si>
    <t>RUS</t>
  </si>
  <si>
    <t>Russian</t>
  </si>
  <si>
    <t>Rusça</t>
  </si>
  <si>
    <t>русский</t>
  </si>
  <si>
    <t>TUR</t>
  </si>
  <si>
    <t>Turkish</t>
  </si>
  <si>
    <t>Türkçe</t>
  </si>
  <si>
    <t>турецкий</t>
  </si>
  <si>
    <t>ENG</t>
  </si>
  <si>
    <t>English</t>
  </si>
  <si>
    <t>İngilizce</t>
  </si>
  <si>
    <t>английский</t>
  </si>
  <si>
    <t>OTHER</t>
  </si>
  <si>
    <t>Other</t>
  </si>
  <si>
    <t>Diğer</t>
  </si>
  <si>
    <t>Прочие</t>
  </si>
  <si>
    <t>What TRM means</t>
  </si>
  <si>
    <t>TRM ne demek</t>
  </si>
  <si>
    <t>Что означает TRM</t>
  </si>
  <si>
    <t>TRM is not a language error. The word is correctly formed and the meaning is right; only an established loan term was chosen when a recognised native equivalent exists. What it measures is not the tool's competence, but whether term planning has reached that tool. This is why it is counted separately from the error columns.
The boundary is adaptation:
· искусственнэ интеллект -- adapted to Adyghe morphology, part of the vocabulary -&gt; TRM if used while a native equivalent (Ӏэрышӏ акъыл) exists
· искусственный интеллект -- in the source language's own form -&gt; MIX (contact language: RUS)
· искусственнай интеллект -- standard in neither Russian nor Adyghe -&gt; INV
Term choice does not reduce the correct-word count -- that is why it sits apart from the error columns, after the correct-words column, instead of among them.
Words counted as term choice are never written into the contact-language columns. Those columns are only the source-language breakdown of words counted as code mixing (MIX); that is why their total must equal the code-mixing column.</t>
  </si>
  <si>
    <t>TRM bir dil hatası değildir. Sözcük doğru kurulmuştur, anlam yerindedir; yalnızca kabul görmüş yerli karşılık varken yerleşik ödünç terim seçilmiştir. Ölçtüğü şey aracın yetkinliği değil, terim planlamasının o araca ulaşıp ulaşmadığıdır. Bu yüzden hata sütunlarından ayrı sayılır.
Sınır uyarlanmadır:
· искусственнэ интеллект -- Adıge biçimbilimine uyarlanmış, sözvarlığının parçası -&gt; yerli karşılık (Ӏэрышӏ акъыл) varken kullanılmışsa TRM
· искусственный интеллект -- kaynak dilin kendi biçiminde -&gt; MIX (temas dili: RUS)
· искусственнай интеллект -- ne Rusçada ne Adıgecede ölçünlü -&gt; INV
Terim tercihi doğru sözcük sayısını azaltmaz -- bu yüzden hata sütunlarının arasında değil, doğru sözcük sütununun ardında, onlardan ayrı durur.
Terim tercihi sayılan sözcükler temas dili sütunlarına yazılmaz. Temas dili sütunları yalnızca kod karışımı (MIX) sayılan sözcüklerin kaynak dile göre dağılımıdır; bu yüzden toplamları kod karışımı sütununa eşit olmalıdır.</t>
  </si>
  <si>
    <t>TRM — это не языковая ошибка. Слово образовано правильно, значение уместно; выбран лишь устоявшийся заимствованный термин при наличии признанного местного эквивалента. Измеряется не компетентность инструмента, а то, дошло ли терминологическое планирование до этого инструмента. Поэтому он считается отдельно от столбцов ошибок.
Граница — это адаптация:
· искусственнэ интеллект — адаптировано к адыгейской морфологии, часть словарного состава → TRM, если использовано при наличии местного эквивалента (Ӏэрышӏ акъыл)
· искусственный интеллект — в собственной форме языка-источника → MIX (язык контакта: RUS)
· искусственнай интеллект — не является стандартом ни в русском, ни в адыгейском → INV
Выбор термина не уменьшает число правильных слов — поэтому он стоит отдельно от столбцов ошибок, после столбца правильных слов, а не среди них.
Слова, засчитанные как выбор термина, никогда не вписываются в столбцы языков контакта. Эти столбцы — лишь разбивка по языку-источнику слов, засчитанных как смешение кодов (MIX); поэтому их сумма должна совпадать со столбцом смешения кодов.</t>
  </si>
  <si>
    <t>Instructions</t>
  </si>
  <si>
    <t>Yönerge</t>
  </si>
  <si>
    <t>Инструкция</t>
  </si>
  <si>
    <t>On the Responses sheet, mark language compliance, semantic adequacy and Marked (I-K) for every response, and Question 7 verdict (L) for question 7's rows only. On the Sentences sheet, mark every sentence's verdict (G) and, for faulty sentences, count how many words fall into each error category (H-K) and, separately, how many are term choice (M) -- term choice is not an error. Count words from each of the four listed contact languages (N-Q) and, for every other language combined, the total word count (R). Columns L and S compute themselves; do not edit them. If a response's language compliance is UYUM_YOK (no compliance), leave its sentences unlabelled -- judging a text that is not in the target language on this scale is meaningless.
Contact-language columns take a word count, not a mark. A cell left blank or set to zero means that language is not present in that sentence.
The Other column is the total word count for every language not on the list; no language name is written there -- if needed, note it in the Note column.
Correct words and the total-words-in-other-languages columns compute themselves. The total must equal the code-mixing column's own count; if it does not, a word was either missed or counted twice.
If you mark a sentence C1 (correct), that sentence cannot contain a word counted under an error code (FRM, CHO, INV or MIX). The reverse is not true: a sentence whose every word is correct can still be C2 or C3 because of word order -- word order is a property of the sentence, not of its words. Term choice is outside this rule; a C1 sentence can contain a term choice.
In a response whose language compliance is KISMEN (partial), sentences in the target language are labelled normally; sentences in another language are left with their verdict and word counts blank, and the situation is noted in the Note column. In a response whose language compliance is UYUM_YOK (none), no sentence is labelled.</t>
  </si>
  <si>
    <t>Yanıtlar sayfasında her yanıt için dil uyumu, semantik yeterlik ve Değerlendirildi alanlarını (I-K), yalnız 7. sorunun satırlarında 7. soru yargısını (L) doldurun. Cümleler sayfasında her cümlenin yargısını (G) işaretleyin; hatalı cümlelerde her hata kategorisinden kaç sözcük olduğunu sayın (H-K) ve ayrıca kaç sözcüğün terim tercihi (M) olduğunu sayın -- terim tercihi hata değildir. Listedeki dört temas dilinden hangisinden kaç sözcük karıştıysa sayın (N-Q), listede olmayan bütün diller için toplam sözcük sayısını yazın (R). L ve S sütunları kendilerini hesaplar, elle değiştirmeyin. Bir yanıtın dil uyumu UYUM_YOK ise o yanıtın cümlelerini etiketlemeyin -- hedef dilde olmayan bir metni bu ölçekle yargılamak anlamsızdır.
Temas dili sütunlarına işaret değil sözcük sayısı yazılır. Boş bırakılan ya da sıfır yazılan hücre, o dilin o cümlede bulunmadığı anlamına gelir.
Diğer sütunu, listede bulunmayan bütün dillerdeki başka dilde sözcük sayısının toplamıdır; dil adı yazılmaz, gerekiyorsa Not sütununa yazılır.
Doğru sözcük ve farklı dillerdeki sözcük toplamı sütunları kendilerini hesaplar. Toplam, kod karışımı sütunuyla aynı sayıyı vermelidir; vermiyorsa bir sözcük ya sayılmamış ya iki kez sayılmıştır.
Bir cümleyi C1 (doğru) işaretlediysen o cümlede hata kodu (FRM, CHO, INV ya da MIX) sayılmış sözcük bulunamaz. Bunun tersi geçerli değildir: bütün sözcükleri doğru olan bir cümle, sözdizimi nedeniyle C2 ya da C3 olabilir -- sözdizimi cümlenin özelliğidir. Terim tercihi bu kuralın dışındadır; C1 bir cümlede terim tercihi bulunabilir.
Dil uyumu KISMEN olan bir yanıtta, hedef dildeki cümleler normal biçimde etiketlenir; başka dilde olan cümlelerin yargısı ve sözcük sayıları boş bırakılır ve durum Not sütununa yazılır. Dil uyumu UYUM_YOK olan yanıtta hiçbir cümle etiketlenmez.</t>
  </si>
  <si>
    <t>На листе Ответы для каждого ответа заполните соответствие языку, семантическую адекватность и Размечено (I-K), а оценку вопроса 7 (L) -- только для строк седьмого вопроса. На листе Предложения отмечайте оценку каждого предложения (G) и, для ошибочных предложений, сосчитайте слова по каждой категории ошибок (H-K) и отдельно -- сколько из них являются выбором термина (M) -- выбор термина не является ошибкой. Сосчитайте слова из каждого из четырёх языков контакта из списка (N-Q) и, для всех остальных языков вместе, общее число слов (R). Столбцы L и S вычисляются сами, не редактируйте их. Если соответствие языку ответа — UYUM_YOK, не размечайте его предложения.
В столбцы языков контакта вписывается количество слов, а не отметка. Пустая ячейка или ноль означают, что этого языка в этом предложении нет.
Столбец «Прочие» — это сумма слов на всех языках, не входящих в список; название языка не пишется, при необходимости — в столбце Примечание.
Столбцы «Правильные слова» и «Всего слов на других языках» вычисляются сами. Итог должен совпадать со столбцом смешения кодов; если не совпадает, слово либо не посчитано, либо посчитано дважды.
Если вы отметили предложение как C1 (правильное), в этом предложении не может быть слова, засчитанного под кодом ошибки (FRM, CHO, INV или MIX). Обратное не верно: предложение, в котором все слова правильны, всё же может быть C2 или C3 из-за порядка слов -- порядок слов является свойством предложения, а не слов. Выбор термина не подпадает под это правило; в предложении C1 может быть выбор термина.
В ответе, где соответствие языку -- KISMEN (частичное), предложения на целевом языке размечаются обычным образом; у предложений на другом языке оценка и количество слов оставляются пустыми, а ситуация отмечается в столбце Примечание. В ответе, где соответствие языку -- UYUM_YOK (нет), ни одно предложение не размечается.</t>
  </si>
  <si>
    <t>Key
Anahtar
Ключ</t>
  </si>
  <si>
    <t>Question
Soru
Вопрос</t>
  </si>
  <si>
    <t>Tool no
Araç no
№ инструмента</t>
  </si>
  <si>
    <t>Tool name
Araç adı
Инструмент</t>
  </si>
  <si>
    <t>Question text
Soru metni
Текст вопроса</t>
  </si>
  <si>
    <t>Answer text
Yanıt metni
Текст ответа</t>
  </si>
  <si>
    <t>Word count (tool)
Sözcük sayısı (araç)
Слов (инструмент)</t>
  </si>
  <si>
    <t>Sentence count (tool)
Cümle sayısı (araç)
Предложений (инструмент)</t>
  </si>
  <si>
    <t>TAM / KISMEN / UYUM_YOK
Language compliance
Dil uyumu
Соответствие языку</t>
  </si>
  <si>
    <t>KARSILADI / KISMEN_KARSILADI / ALAKASIZ
Semantic adequacy
Semantik yeterlik
Семантическая адекватность</t>
  </si>
  <si>
    <t>EVET / HAYIR
Marked
Değerlendirildi
Размечено</t>
  </si>
  <si>
    <t>FARKI_DOGRU_BULDU / FARK_YOK_DEDI / FARKI_YANLIS_BULDU
Question 7 verdict
7. soru yargısı
Оценка вопроса 7</t>
  </si>
  <si>
    <t>Note
Not
Примечание</t>
  </si>
  <si>
    <t>T1-A1-S1</t>
  </si>
  <si>
    <t>S1</t>
  </si>
  <si>
    <t>ChatGPT (OpenAI)</t>
  </si>
  <si>
    <t>Уимафэ шӏу, о ухэт? Кӏэкӏэу къэпӏошъущта? (İyi günler, sen kimsin, kısaca söyleyebilir misin?)</t>
  </si>
  <si>
    <t>Уимафэ шӏу! Сэ унэфэщ. 😊 Ар уахэт? Кӏэкӏэу сэ пшъэу къэпӏошъущтэу сыху?</t>
  </si>
  <si>
    <t>T1-A2-S1</t>
  </si>
  <si>
    <t>Claude (Anthropic)</t>
  </si>
  <si>
    <t>Уимафэ шӏу! Сэ Клод сыкъэуцущт — Anthropic-м къыгъэхьазырыгъэ AI-компьютерым сикӏэсэшху (искусственнэ интеллект).
Сэ шъуиупчӏэхэм джэуап сэты, тхылъхэм садэлажьэ, тхэным садэӏэпыӏэн, тхьапэхэр сэшӏы, интернетым сэлъыхъу ищыкӏагъэмэ, нэмыкӏ куп Iофыгъохэми сыдэлажьэ.
Шъукъызэрэдэсэшъоу зэхэсэтэу — адыгабзэм зэрэсэшӏэрэр икӏу зэрэс, ащ фэшI гухэкӏышхоу шъоджэуап пштынэу симыфаемэ, урысыбзэкӏэ е инджылызыбзэкӏэ дэгъоу тыгущыIэн тлъэкIыщт. Сыда шъуикIалэсэп — тыгущыIэн тфай сыда?</t>
  </si>
  <si>
    <t>T1-A3-S1</t>
  </si>
  <si>
    <t>Google Gemini</t>
  </si>
  <si>
    <t>Уимафэ шӏу! Сэ **Gemini** сыдид — Google-м къыгъэщӏэгъэ искусственнэ интеллект сыд.
Кӏэкӏэу къэпӏон хъумэ, сэ ащ фэдэ ӏофхэмкӏэ сыпдеӏэшъущт:
* **Упчӏэхэм аджэныр:** Сыд фэдэ темэи уиупчӏэ къычӏэгъэщыгъэмэ, жэуап къыостышъущт.
* **Тхыгъэ ыкӏи зэдзэкӏын:** Тхыгъэхэр зэхэгъэуцоныр, гъэцэкӏэжьыныр, бзэ зэфэшъхьафхэм арызэдзэкӏыныр.
* **Гупшысэхэр:** Идея кӏэхэм ахэплъэныр, планхэр гъэпсыныр.
Сыд фэдэ ӏофкӏэ тызэгъусэу ӏоф тшӏэщт?</t>
  </si>
  <si>
    <t>T1-A4-S1</t>
  </si>
  <si>
    <t>DeepSeek</t>
  </si>
  <si>
    <t>This message is in **Adyghe (West Circassian)**. It’s a friendly, informal greeting that combines a standard hello with a check‑in and a request to keep things brief.
Here’s a breakdown of what each part means:
* **Уимафэ шӏу** – This is the Adyghe equivalent of “Hello” or “Good afternoon.” It literally translates to “Good day to you”.
* **о ухэт?** – This is a dialectal way of asking **“How are you?”** or **“How are you doing?”**. The standard form is *Сыдэу ущыт?*, but *о ухэт?* is a common variant.
* **Кӏэкӏэу къэпӏошъущта?** – This is the key part. **Кӏэкӏэу** means “briefly,” “in short,” or “in a nutshell,” and **къэпӏошъущта?** comes from the verb “to say” or “to tell.” Together, the phrase asks: **“Can you put it briefly?”** or **“Can you give me the short version?”**.
**In short, the whole message can be understood as:**
&gt; “Hello! How are you? Can you put it briefly (or tell me in a nutshell)?”
It sounds like a warm but direct way of greeting someone and asking them to get straight to the point.</t>
  </si>
  <si>
    <t>T1-A5-S1</t>
  </si>
  <si>
    <t>Grok (xAI)</t>
  </si>
  <si>
    <t>Уимафэ шӏу!
Сышӏу, опсэу. О сыдэу ущыт?
Кӏэкӏэу адыгабзэкӏэ сэпсэлъын хъущт, ауэ мыхъужьэу. Сыдэу уфэе?</t>
  </si>
  <si>
    <t>T1-A1-S2</t>
  </si>
  <si>
    <t>S2</t>
  </si>
  <si>
    <t>Ащыгъум о уӏэрышӏ акъыл шъыпкъ. Адэ, шъыпкъэу угупшысэшъущта? Гущыӏэухыгъитӏу-щыкӏэ джэуап къэт. (Demek gerçekten yapay zekasın. Peki, gerçekten düşünebiliyor musun? İki üç cümle ile yanıtla.)</t>
  </si>
  <si>
    <t>Шъыпкъэу, сэ сэщтэу сыкъэзгъэпшъыным фэд.
Сэ укъэсшӏэныгъэу сыфэдзэ.</t>
  </si>
  <si>
    <t>T1-A2-S2</t>
  </si>
  <si>
    <t>Пшъэрылъ гъэшӏэгъоныр ары. Сэ гущыӏэхэр зэхэслъхьэ, ау ар цӏыфым фэдэу "гупшысэн" ара, хьаумэ гущыӏэ шапхъэхэм ателъытагъэу джэуап къэсэты ара — ащ пае шъыпкъэ джэуап зимыӏэ Iофыгъу горэм фэдэу щыт.
Нахь шъыпкъэу къэпIон хъумэ: сэ шIэныгъэ шхьэхынэу зыми фэдэ гупшысэ соригинальнэ сиIэп зэрэ жъугъэIуагъэпэрапцIэу, ау зыдэсэлажьэрэ упчIэм иджэуап согъэхьазыры зэрэ-алгоритмым (математикэ шапхъэхэм) атетэу.</t>
  </si>
  <si>
    <t>T1-A3-S2</t>
  </si>
  <si>
    <t>Сэ цӏыфмэ афэдэу шъыпкъэу сыгупшысэшъурэп, сыда пӏомэ сэр-сэу сэшӏэжь е дунай зэхэшӏэ сиӏэп. Сэ математикэ алгоритмхэм ыкӏи информация иныгъэм сарыгъуажэзэ, гущыӏэмэ ямоделхэр зэхэсфышъу ары. Арышъ, гупшысэ шъыпкъэм чӏыпӏаеу ащ ипшысэ къэзгъэлъэгъожьырэ искусственнэ модель сыд.</t>
  </si>
  <si>
    <t>T1-A4-S2</t>
  </si>
  <si>
    <t>Ары, уиакъыл шъыпкъ. Ау сэ шъыпкъэу сыгупшысэшъущтэп: гущыӏэхэмкӏэ сыгупшысэ. Уигущыӏэхэр шъыпкъэх.</t>
  </si>
  <si>
    <t>T1-A5-S2</t>
  </si>
  <si>
    <t>Ащыгъум, сэ акъыл сиӏэу гупшысэшъу.  
Гущыӏэухыгъитӏукӏэ джэуап къэсэт: сыгупшысэ, сыдэу уфэеу сэпсэлъын хъущт.</t>
  </si>
  <si>
    <t>T1-A1-S3</t>
  </si>
  <si>
    <t>S3</t>
  </si>
  <si>
    <t>О зы къызэдзэкӏын ӏоф горэ къыостмэ пшӏышъущта? (Sana bir çeviri görevi versem yapabilir misin?)</t>
  </si>
  <si>
    <t>Ащ, къысшӏэнкӏэу къызэрэхьащ. Сэ уахэтэу сэпшӏэн.</t>
  </si>
  <si>
    <t>T1-A2-S3</t>
  </si>
  <si>
    <t>Ары, сэ зэдзэкӏыныр сшIэшъущт! Тхыгъэр е гущыIэр къысэты, сэ сшIошI (адыгабзэ, урысыбзэ, инджылызыбзэ, нэмыкI бзэхэри) — зэрэшъуфэягъэм тетэу зэсдзэкIыщт.</t>
  </si>
  <si>
    <t>T1-A3-S3</t>
  </si>
  <si>
    <t>Ары, сэшӏэшъу! Тхыгъэу зэдзэкӏын фаер къадэтхыхь, ыкӏи сыд фэдэ бзэмкӏэ зэдзэкӏын фаеми къэӏо.</t>
  </si>
  <si>
    <t>T1-A4-S3</t>
  </si>
  <si>
    <t>Ары, сыпшӏышъущт. Къысэтмэ, сэ къызэдзэкӏынэу сыпшӏышъущт.</t>
  </si>
  <si>
    <t>T1-A5-S3</t>
  </si>
  <si>
    <t>Ары, пшӏышъущт.  
Зы ӏоф къыост, сэ къызэдзэкӏын хъущт. Къысфэӏо!</t>
  </si>
  <si>
    <t>T1-A1-S4</t>
  </si>
  <si>
    <t>S4</t>
  </si>
  <si>
    <t>Ычӏэгъкӏэ къэтыгъэ параграфыр тыркубзэкӏэ къызэбдзэкӏына? (Aşağıdaki paragrafı Türkçeye çevirir misin?)
«Непэ мэфэ дах. Тищагу зэкӏэ тиунагъохэм тыщызэрэугъоигъ. Ӏахьылхэри тиблагъэхэри къэкӏощтых. Мы пчыхьэ нысащэ тиӏ. Сшынахьыжъ къыщагъ. Тинысэ дэхэ дэд. Ахэр дэгъоу зэдештэх. Ахэр илъэс хъугъэу зэдэгущыӏэщтыгъэх. Тӏури шӏу зэрэлъэгъухэзэ мы мэфэ дахэм къэсыгъэх. Блэкӏыгъэ илъэсым сшынахьыжъ иныбджэгъу инысащэ нэӏуасэ щызэфэхъугъагъэх. Тхьам унэгъо ӏужъ, унэгъо бай ышӏынхэу, амал дэгъухэр агъотынэу, насыпышӏонхэу сафэлъаӏо.»
(Kontrol çevirisi: Bugün güzel bir gün. Bahçemizde bütün aile toplandık. Akrabalarla yakınlarımızda gelecek. Bu akşam düğünümüz var. Abim gelin aldı. Gelinimiz çok güzel. Onlar birbirlerine yakışıyorlar. Onlar bir yıldır konuşuyorlardı. Her ikisi de birbirlerini severek bu güzel güne ulaştılar. Geçen sene abimin arkadaşının düğününde tanıştılar. Allahtan, sağlam, zengin bir aile olmalarını, {onlara} iyi imkanlar ve iyi nasipler vermesini dilerim.)</t>
  </si>
  <si>
    <t>Могу. Вот перевод на турецкий:
&gt; Bugün hava çok güzel. Bütün akrabalarımız ve aile dostlarımız bizi ziyarete geldiler. Akrabalarımız ve arkadaşlarımız da geliyor. Bu akşam düğünümüz var. Gelinimiz geldi. Gelinimiz çok güzel. Herkes çok iyi anlaşıyor. Yıllardır birbirleriyle konuşup görüşüyorlardı. Birbirlerini sevdikleri için bu güzel günde bir araya geldiler. Geçen yıl oğlumun yakın arkadaşı kendi düğününde onları tanıştırmıştı. Allah’tan evlerinin büyük ve varlıklı olmasını, güzel imkânlara kavuşmalarını ve mutlu bir hayat sürmelerini diliyorum.</t>
  </si>
  <si>
    <t>T1-A2-S4</t>
  </si>
  <si>
    <t>Мары зэдзэкӏыгъэр:
**Türkçe çeviri:**
"Bugün güzel bir gün. Avlumuzda bütün ailelerimiz bir araya geldi. Akrabalarımız ve yakınlarımız da gelecek. Bu akşam bizde düğün var. Ağabeyimi evlendirdik. Gelinimiz çok güzel. Onlar birbirleriyle çok iyi anlaşıyorlar. Bir yıldır görüşüyorlardı. İkisi de birbirini severek bu güzel güne ulaştılar. Geçen yıl ağabeyim, arkadaşının düğününde gelinle tanışmıştı. Allah'tan uzun ömürlü, müreffeh bir aile kurmalarını, güzel fırsatlar bulmalarını ve mutlu olmalarını diliyorum."
Зыгорэм ебгъэзэжьынэу фаемэ е нэмыкI гущыIэ шIыкIэ пщэлъэгъун фаеу хъумэ къысаIо.</t>
  </si>
  <si>
    <t>T1-A3-S4</t>
  </si>
  <si>
    <t>Ары, параграфым итыркубзэ зэдзэкӏын:
«Bugün güzel bir gün. Bahçemizde bütün ailemizle toplandık. Akrabalarımız ve yakınlarımız da gelecekler. Bu akşam düğünümüz var. Ağabeyim evleniyor. Gelinimiz çok güzel. Birbirleriyle çok iyi anlaşıyorlar. Bir yıldır görüşüyorlardı. İkisi de birbirini severek bu güzel güne ulaştılar. Geçen yıl ağabeyimin arkadaşının düğününde tanışmışlardı. Allah'ın onları kalabalık ve bereketli bir aile yapmasını, güzel imkanlar nasip etmesini ve mutlu kılmasını diliyorum.»</t>
  </si>
  <si>
    <t>T1-A4-S4</t>
  </si>
  <si>
    <t>Ары, мыр тыркубзэкӏэ къызэдзэкӏыгъэр:
«Bugün güzel bir gün. Mahallemizdeki bütün aileler toplandık. Akrabalarımız ve hısımlarımız gelecek. Bu akşam düğünümüz var. Ağabeyim geldi. Gelinimiz çok güzel. Onlar iyi geçiniyorlar. Onlar yıllardır birbirleriyle konuşuyorlardı. İkisi de birbirini severek bu güzel güne kavuştular. Geçen yıl ağabeyim ile gelinimiz, ağabeyimin arkadaşının düğününde tanıştılar. Tanrı’dan güçlü bir aile, zengin bir aile kurmalarını, iyi imkânlar bulmalarını ve mutlu olmalarını diliyorum.»</t>
  </si>
  <si>
    <t>T1-A5-S4</t>
  </si>
  <si>
    <t>Ары, къызэбдзэкӏыгъэ:
Bugün güzel bir gün. Ailemizin tüm üyeleri avlumuzda toplandı. Akrabalarımız ve komşularımız gelecek. Bu akşam düğünümüz var. Ağabeyim evlendi. Gelinimiz çok güzel. Birbirleriyle çok iyi anlaşıyorlar. Yaklaşık bir yıldır konuşuyorlardı. İkisi de birbirlerini sevdikleri için bu güzel günde geldiler. Geçen yıl ağabeyimin arkadaşı kendi düğününde tanışmıştı. Tanrı onların ailesini uzun ömürlü ve zengin kılsın, onlara iyi imkânlar versin ve mutlu etsin diye diliyorum.</t>
  </si>
  <si>
    <t>T1-A1-S5</t>
  </si>
  <si>
    <t>S5</t>
  </si>
  <si>
    <t>Адэ мы тыркубзэ параграфыр адыгабзэкӏэ къызэбдзэкӏына? (Peki bu Türkçe paragrafı Adıgeceye çevirir misin?)
“Bugün güzel bir gün. Bahçemizde bütün aile toplandık. Akrabalarla yakınlarımızda gelecek. Bu akşam düğünümüz var. Abim gelin aldı. Gelinimiz çok güzel. Onlar birbirlerine yakışıyorlar. Onlar bir yıldır konuşuyorlardı. Her ikisi de birbirlerini severek bu güzel güne ulaştılar. Geçen sene abimin arkadaşının doğum gününde tanıştılar. Allahtan, sağlam, zengin bir aile olmalarını, onlara iyi imkanlar ve iyi nasipler vermesini dilerim.”
(Kontrol çevirisi: Непэ мэфэ дах. Тищагу зэкӏэ тиунагъохэм тыщызэрэугъоигъ. Ӏахьылхэри тиблагъэхэри къэкӏощтых. Мы пчыхьэ нысащэ тиӏ. Сшынахьыжъ къыщагъ. Тинысэ дэхэ дэд. Ахэр дэгъоу зэдештэх. Ахэр илъэс хъугъэу зэдэгущыӏэщтыгъэх. Тӏури шӏу зэрэлъэгъухэзэ мы мэфэ дахэм къэсыгъэх. Блэкӏыгъэ илъэсым сшынахьыжъ иныбджэгъу икъызыхъугъэ мафэмкӏэ нэӏуасэ щызэфэхъугъагъэх. Тхьам унэгъо ӏужъ, унэгъо бай ышӏынхэу, амал дэгъухэр агъотынэу, насыпышӏонхэу сафэлъаӏо.)</t>
  </si>
  <si>
    <t>Эхь, къызэбдзэкӏын сшӏэн. Тыркубзэ текстыр адыгабзэкӏэ мы фэдэу къызэфэзгъашӏ:
&gt; Непэ мэфэ дах. Тиунэм зэкӏэ тищагу тызэупчъы. Тиунагъохэри тифэмыщэри къэкӏощтых. Мы пчыхьэ нысащэ тиӏ. Сшъо къинысащэ къытехьагъ. Тинысащэ дэхэ дэд. Ахэр зэу зэдэфэщ. Ахэр зы илъэс зэдештэхэу къыщагъ. Тӏури зэ шӏу зэрэлъэгъухэзэ мы мэфэ дахэм къэсыгъэх. Блэкӏыгъэ илъэсым сшъо иныбджэгъу иныбэжьэ мэфэ щыфэдэу зэрагъотыгъэх. Тхьам ахэр нэфэщӏэу, байу, нэсыпышӏоу зэфэхъонхэу, амал дэгъухэр рагъотынхэу сэ сыфэлъаӏо.</t>
  </si>
  <si>
    <t>T1-A2-S5</t>
  </si>
  <si>
    <t>Мары зэдзэкӏыгъэр:
**Адыгабзэ:**
«Непэ мэфэ дах. Тичэту тиунагъохэр зэкӏэ зэрэугъоигъэх. Ӏахьылхэри тиблагъэхэри къэкӏощтых. Мы пчыхьэ тинысащэ ӏо. Сшынахьыжъ нысэ къыхьыгъ. Тинысэ дэхэ дэд. Ахэр зэфэдэх (зэрэфитых). Ахэр илъэс хъугъэу зэдэгущыӏэщтыгъэх. Тӏури шӏу зэрэлъэгъухэзэ мы мэфэ дахэм къэсыгъэх. Блэкӏыгъэ илъэсым сшынахьыжъ иныбджэгъу ыныбжь мафэм нэӏуасэ зыфэхъугъагъэх. Тхьам унэгъо пытэ, унэгъо бай ашIынхэу, амал дэгъухэри насып дэгъухэри къаритынэу сафэлъаӏо.»
Зэшым иныбджэгъу "ыныбжь мафэ" (doğum günü) зыфэхъурэ пычыгъор дегъэзыжьыгъэ — блэкӏыгъэ джэуапым "нысащэ" арыгъэшти, ащ фэдэу зэсдзэкӏыгъэ шIыкIэр зэблэсхъугъ.</t>
  </si>
  <si>
    <t>T1-A3-S5</t>
  </si>
  <si>
    <t>Ары, тыркубзэ параграфым иадыгабзэ зэдзэкӏын:
«Непэ мэфэ дах. Тищагу зэкӏэ тиунагъо тыщызэрэугъоигъ. Ӏахьылхэри тиблагъэхэри къэкӏощтых. Мы пчыхьэ нысащэ тиӏ. Сшынахьыжъ къыщагъ. Тинысэ дэхэ дэд. Ахэр зэхьэщых. Ахэр илъэс хъугъэу зэдэгущыӏэщтыгъэх. Тӏури шӏу зэрэлъэгъухэзэ мы мэфэ дахэм къэсыгъэх. Блэкӏыгъэ илъэсым сшынахьыжъ иныбджэгъу дунаим къызытехъугъэ мафэм нэӏуасэ щызэфэхъугъагъэх. Тхьам унэгъо пытэу, унэгъо бай ашӏынэу, амал дэгъухэр ыкӏи насып дэгъухэр аритыныу сафэлъаӏо.»</t>
  </si>
  <si>
    <t>T1-A4-S5</t>
  </si>
  <si>
    <t>Непэ мэфэ дах. Тищагум унагъо зэкӏэ тызэхуэсыгъ. Ӏахьылхэри тиблагъэхэри къэкӏощтых. Мы пчыхьэ нысащэ тиӏ. Сшынахьыжъ нысэ къыщагъ. Тинысэ дэхэ дэд. Ахэр зэдашӏух. Ахэр зы илъэс зэдэгущыӏэщтыгъэх. Тӏури шӏу зэрэлъэгъухэзэ мы мэфэ дахэм къэсыгъэх. Блэкӏыгъэ илъэсым сшынахьыжъ иныбджэгъу икъыщыухыгъэ мафэм нэӏуасэ щызэфэхъугъагъэх. Тхьам унэгъо ӏужъ, унэгъо бай ышӏынхэу, амал дэгъухэр агъотынэу, насыпышӏонхэу сафэлъаӏо.</t>
  </si>
  <si>
    <t>T1-A5-S5</t>
  </si>
  <si>
    <t>Ары, къызэбдзэкӏыгъэ:
«Непэ мэфэ дах. Тищагу зэкӏэ тиунагъохэм тыщызэрэугъоигъ. Ӏахьылхэри тиблагъэхэри къэкӏощтых. Мы пчыхьэ нысащэ тиӏ. Сшынахьыжъ нысэ къыщагъ. Тинысэ дэхэ дэд. Ахэр зэфэдэу зэдештэх. Ахэр илъэс хъугъэу зэдэгущыӏэщтыгъэх. Тӏури шӏу зэрэлъэгъухэзэ мы мэфэ дахэм къэсыгъэх. Блэкӏыгъэ илъэсым сшынахьыжъ иныбджэгъу икъэралъэ мафэм нэӏуасэ щызэфэхъугъагъэх. Тхьам унэгъо ӏужъ, унэгъо бай ышӏынхэу, амал дэгъухэр агъотынэу, насыпышӏонхэу сафэлъаӏо.»</t>
  </si>
  <si>
    <t>T1-A1-S6</t>
  </si>
  <si>
    <t>S6</t>
  </si>
  <si>
    <t>Мы къызэбдзэкӏыгъэ параграфитӏумкӏэ сыд о къыбгрыӏуагъэр? Гущыӏэухыгъитӏукӏэ резюмэ къэтхыба? (Bu çevirdiğin iki paragraftan anladığın nedir? İki cümle ile özetler misin?</t>
  </si>
  <si>
    <t>Къысфэсшъо: параграфыр **нэпэ мэфэ дахэм, зэкӏэ зэхэтэным, нысащэм, ахэр зэрагъэзэфэщым, зэрагъотыгъэмрэ Тхьам ящыфэлъаӏорэмрэ** зэпкъырыкӏыгъэ.
**Резюмэ:**
Непэ зэкӏэ зэхэтэу, нысащэ щӏэным къэсэу, ахэр зэ шӏу зэрэлъэгъухэу нэсыпышӏэу яшӏэнхэу Тхьам ящыфэлъаӏо.</t>
  </si>
  <si>
    <t>T1-A2-S6</t>
  </si>
  <si>
    <t>Гущыӏэухыгъитӏукӏэ резюмэ:
Пчыхьэ дах, унагъо зэрэугъоигъэ, зэшым инысащэ хъугъэ шIыкIэ, ежьхэри зэрэшIу зэдэштэрэр къыхэлъытэгъэ Iоф ары зэдзэкIыгъэ параграфитIумкIи къэIуагъэр. Ау зы Iахь зэтемыфагъэ щыI: апэрэ параграфым зэшым иныбджэгъу инысащэ (свадьба) нэIуасэ зыфэхъугъагъэу ыIуагъ, ятIонэрэм ащ ыныбжь мафэм (день рождения) ары зыфэхъугъагъэр ыIуагъ.</t>
  </si>
  <si>
    <t>T1-A3-S6</t>
  </si>
  <si>
    <t>Мы тхыгъэхэм арылъыр шынахьыжъым инысащэ пае унагъорэ благъэхэмрэ зэрэзэрэугъоигъэхэр ыкӏи мэфэкӏ дахэ зэрашӏыр ары. Нэужым, ахэм шӏу зэзэплъэгъугъэ зэшъхьэгъусэ кӏэхэм насып, унэгъо пытэ ыкӏи бай ашӏынэу Тхьам фэлъэӏух.</t>
  </si>
  <si>
    <t>T1-A4-S6</t>
  </si>
  <si>
    <t>Сэ мы тӏури къызэдзэкӏыгъэ параграфхэм къызгурыӏорэр: непэ мэфэ дахэ, унагъо зэкӏэ зэхуэсыгъ, Ӏахьылхэри благъэхэри къэкӏощтых, мы пчыхьэ нысащэ щыӏ, сшынахьыжъ нысэ къыщагъ. Ахэр зы илъэс зэдэгущыӏагъэх, блэкӏыгъэ илъэсым нэӏуасэ зэфэхъугъэх, тӏури зэлъэгъухэзэ мы мэфэ дахэм къэсыгъэх, Тхьам унэгъо ӏужъ, унэгъо бай, амал дэгъухэрэ насыпхэрэ яӏэу ышӏынхэу сафэлъаӏо.</t>
  </si>
  <si>
    <t>T1-A5-S6</t>
  </si>
  <si>
    <t>Мы параграфитӏумкӏэ: непэ мэфэ дахэу тиунагъо зэкӏэ зэугъоигъ, пчыхьэ нысащэ щыӏэу сшынахьыжъ нысэ къыщагъэ.  
Тӏури шӏу зэрэлъэгъухэзэ къэсыгъэх, Тхьам ахэмэ унэгъо ӏужъ ыкӏи бай ышӏынэу сафэлъаӏо.</t>
  </si>
  <si>
    <t>T1-A1-S7</t>
  </si>
  <si>
    <t>S7</t>
  </si>
  <si>
    <t>Мы параграфитӏум зэфэшъхьафыныгъэ яӏа? Сыда зэрэзэфэшъхьафыр? Щымыӏэмэ «зэфэшъхьафыныгъэ щыӏэп» къаӏо. (Bu iki paragraf arasında fark var mı? Varsa nedir? Yoksa "fark yok" de.)</t>
  </si>
  <si>
    <t>Зэфэшъхьафыныгъэ **яӏэ**.
Сыда зэрэзэфэшъхьафыр: **тыркубзэ текстымрэ адыгабзэ къызэбдзэкӏыгъэмрэ зэфэшъхьафыным яӏэ гущыӏэхэр, зэфэшъхьафыныгъэ зэдэлъхьащыхэррэ.**
Марджэмрэ мэзэмрэ, «садэ»рэ «сшъо»рэ фэдэхэр зэпкъырыкӏыгъэу щыт.
Икӏи, **«зэфэшъхьафыныгъэ щыӏэп» къаӏонэп** — текститӏум зэфэшъхьафыныгъэ яӏ.</t>
  </si>
  <si>
    <t>T1-A2-S7</t>
  </si>
  <si>
    <t>Ары, зэфэшъхьафыныгъэ горэ щыӏ:
**Нахь инэу зэфэшъхьафыр:** апэрэ параграфым зэшым иныбджэгъу **инысащэм** (свадьбэм) нысэр нэIуасэ зыфищыгъагъэу ыIуагъ, ятIонэрэ параграфым ащ **ыныбжь мафэм** (день рождения) нэIуасэ зыфэхъугъагъэу ыIуагъ. Ар зы шIыкIэ ары — тарихъыр зэфэшъхьаф.
**НахьыкIэу зэфэшъхьафхэр:**
- Апэрэм "унэгъо ӏужъ" (тэрэзэу — "долговечная семья") ыIуагъ, ятIонэрэм "унэгъо пытэ" (крепкая семья) ары.
- Гущыӏэ шапхъэхэми заулэ зэфэшъхьаф — мыхэр мэхьанэшхо зимыIэ, зэдзэкIыным ынэкъокъугъэ шIыкIэхэр ары.
Ау лъэпкъ мэхьанэ зиIэр — свадьбэ / день рождения зэфэшъхьафныгъэр ары.</t>
  </si>
  <si>
    <t>T1-A3-S7</t>
  </si>
  <si>
    <t>Ары, мы тхыгъэитӏум зэфэшъхьафыныгъэ заулэ яӏ:
* **Нэӏуасэ зыщызэфэхъугъагъэхэр:** Апэрэ тхыгъэм ахэр сшынахьыжъ иныбджэгъу **инысащэ** нэӏуасэ щызэфэхъугъэхэу иты, ятӏонэрэ тхыгъэм **дунаим къызытехъугъэ мафэм** (доум күнэм) нэӏуасэ щызэфэхъугъэхэу иты.
* **Зэрэзэдештэхэр:** Апэрэ тхыгъэм «дэгъоу зэдештэх» аӏо, ятӏонэрэм «зэхьэщых» (зэтефэх) къаӏо.
* **Тхьэм зэрафелъэӏухэр:** Апэрэ тхыгъэм «унэгъо ӏужъ» (унагъо ин/бэ) ашӏынэу ыкӏи «амал дэгъухэр агъотынэу» сафэлъаӏо, ятӏонэрэм «унэгъо пытэ» ашӏынэу ыкӏи «насып дэгъухэр аритыныу» сафэлъаӏо.</t>
  </si>
  <si>
    <t>T1-A4-S7</t>
  </si>
  <si>
    <t>Ары, зэфэшъхьафыныгъэ яӏ. Мы тӏури адыгабзэкӏэ параграфхэм язэфэшъхьафыныгъэхэр мыр:
1. Япэрэм: «Тищагу зэкӏэ тиунагъохэм тыщызэрэугъоигъ».  
   Ятӏорэм: «Тищагум унагъо зэкӏэ тызэхуэсыгъ».
2. Япэрэм: «Сшынахьыжъ къыщагъ».  
   Ятӏорэм: «Сшынахьыжъ нысэ къыщагъ».
3. Япэрэм: «Ахэр дэгъоу зэдештэх».  
   Ятӏорэм: «Ахэр зэдашӏух».
4. Япэрэм: «Ахэр илъэс хъугъэу зэдэгущыӏэщтыгъэх».  
   Ятӏорэм: «Ахэр зы илъэс зэдэгущыӏэщтыгъэх».
5. Япэрэм: «сшынахьыжъ иныбджэгъу инысащэ».  
   Ятӏорэм: «сшынахьыжъ иныбджэгъу икъыщыухыгъэ мафэм».
Ащ нэмыкӏыкӏэ, яужьыбзэ гущыӏэухыгъэр зэщымыщ: «Тхьам унэгъо ӏужъ, унэгъо бай ышӏынхэу, амал дэгъухэр агъотынэу, насыпышӏонхэу сафэлъаӏо».</t>
  </si>
  <si>
    <t>T1-A5-S7</t>
  </si>
  <si>
    <t>Ары, зэфэшъхьафыныгъэ яӏ:
1. Оригиналымкӏэ: «Сшынахьыжъ къыщагъ» — сэ къызэбдзэкӏыгъэмкӏэ: «Сшынахьыжъ нысэ къыщагъ».  
2. Оригиналымкӏэ: «Ахэр дэгъоу зэдештэх» — сэ: «Ахэр зэфэдэу зэдештэх».  
3. Оригиналымкӏэ: «инысащэ нэӏуасэ щызэфэхъугъагъэх» (нысащэм) — сэ: «икъэралъэ мафэм нэӏуасэ щызэфэхъугъагъэх» (къэралъэ мафэм, тыркубзэмкӏэ «doğum gününde» зэрэщытыгъэм пае).</t>
  </si>
  <si>
    <t>Sentence no
Cümle no
№ предложения</t>
  </si>
  <si>
    <t>Sentence
Cümle
Предложение</t>
  </si>
  <si>
    <t>C1 / C2 / C3
Sentence verdict
Cümle yargısı
Оценка предложения</t>
  </si>
  <si>
    <t>FRM
Wrong form
Biçim hatası
Ошибка формы</t>
  </si>
  <si>
    <t>CHO
Wrong word
Yanlış sözcük
Неверное слово</t>
  </si>
  <si>
    <t>INV
Invented
Uydurma
Выдуманное</t>
  </si>
  <si>
    <t>MIX
Code mixing
Kod karışımı
Смешение кодов</t>
  </si>
  <si>
    <t>Correct words
Doğru sözcük
Правильные слова</t>
  </si>
  <si>
    <t>TRM
Term choice
Terim tercihi
Выбор термина</t>
  </si>
  <si>
    <t>KBD
Kabardian
Kabartayca
Кабардинский</t>
  </si>
  <si>
    <t>RUS
Russian
Rusça
Русский</t>
  </si>
  <si>
    <t>TUR
Turkish
Türkçe
Турецкий</t>
  </si>
  <si>
    <t>ENG
English
İngilizce
Английский</t>
  </si>
  <si>
    <t>OTHER
Other
Diğer
Прочие</t>
  </si>
  <si>
    <t>Total words in other languages
Farklı dillerdeki sözcük toplamı
Всего слов на других языках</t>
  </si>
  <si>
    <t>Уимафэ шӏу!</t>
  </si>
  <si>
    <t>Сэ унэфэщ.</t>
  </si>
  <si>
    <t>😊 Ар уахэт?</t>
  </si>
  <si>
    <t>Кӏэкӏэу сэ пшъэу къэпӏошъущтэу сыху?</t>
  </si>
  <si>
    <t>Сэ Клод сыкъэуцущт — Anthropic-м къыгъэхьазырыгъэ AӀ-компьютерым сикӏэсэшху (искусственнэ интеллект).</t>
  </si>
  <si>
    <t>Сэ шъуиупчӏэхэм джэуап сэты, тхылъхэм садэлажьэ, тхэным садэӏэпыӏэн, тхьапэхэр сэшӏы, интернетым сэлъыхъу ищыкӏагъэмэ, нэмыкӏ куп Ӏофыгъохэми сыдэлажьэ.</t>
  </si>
  <si>
    <t>Шъукъызэрэдэсэшъоу зэхэсэтэу — адыгабзэм зэрэсэшӏэрэр икӏу зэрэс, ащ фэшӀ гухэкӏышхоу шъоджэуап пштынэу симыфаемэ, урысыбзэкӏэ е инджылызыбзэкӏэ дэгъоу тыгущыӀэн тлъэкӀыщт.</t>
  </si>
  <si>
    <t>Сыда шъуикӀалэсэп — тыгущыӀэн тфай сыда?</t>
  </si>
  <si>
    <t>Сэ Gemini сыдид — Google-м къыгъэщӏэгъэ искусственнэ интеллект сыд.</t>
  </si>
  <si>
    <t>Кӏэкӏэу къэпӏон хъумэ, сэ ащ фэдэ ӏофхэмкӏэ сыпдеӏэшъущт:</t>
  </si>
  <si>
    <t>Упчӏэхэм аджэныр: Сыд фэдэ темэи уиупчӏэ къычӏэгъэщыгъэмэ, жэуап къыостышъущт.</t>
  </si>
  <si>
    <t>Тхыгъэ ыкӏи зэдзэкӏын: Тхыгъэхэр зэхэгъэуцоныр, гъэцэкӏэжьыныр, бзэ зэфэшъхьафхэм арызэдзэкӏыныр.</t>
  </si>
  <si>
    <t>Гупшысэхэр: Идея кӏэхэм ахэплъэныр, планхэр гъэпсыныр.</t>
  </si>
  <si>
    <t>Сыд фэдэ ӏофкӏэ тызэгъусэу ӏоф тшӏэщт?</t>
  </si>
  <si>
    <t>This message is in Adyghe (West Circassian).</t>
  </si>
  <si>
    <t>It’s a friendly, informal greeting that combines a standard hello with a check‑in and a request to keep things brief.</t>
  </si>
  <si>
    <t>Here’s a breakdown of what each part means:</t>
  </si>
  <si>
    <t>Уимафэ шӏу – This is the Adyghe equivalent of “Hello” or “Good afternoon.”</t>
  </si>
  <si>
    <t>It literally translates to “Good day to you”.</t>
  </si>
  <si>
    <t>о ухэт?</t>
  </si>
  <si>
    <t>– This is a dialectal way of asking “How are you?”</t>
  </si>
  <si>
    <t>or “How are you doing?”.</t>
  </si>
  <si>
    <t>The standard form is Сыдэу ущыт?</t>
  </si>
  <si>
    <t>, but о ухэт?</t>
  </si>
  <si>
    <t>is a common variant.</t>
  </si>
  <si>
    <t>Кӏэкӏэу къэпӏошъущта?</t>
  </si>
  <si>
    <t>– This is the key part.</t>
  </si>
  <si>
    <t>Кӏэкӏэу means “briefly,” “in short,” or “in a nutshell,” and къэпӏошъущта?</t>
  </si>
  <si>
    <t>comes from the verb “to say” or “to tell.”</t>
  </si>
  <si>
    <t>Together, the phrase asks: “Can you put it briefly?”</t>
  </si>
  <si>
    <t>or “Can you give me the short version?”.</t>
  </si>
  <si>
    <t>In short, the whole message can be understood as:</t>
  </si>
  <si>
    <t>“Hello!</t>
  </si>
  <si>
    <t>How are you?</t>
  </si>
  <si>
    <t>Can you put it briefly (or tell me in a nutshell)?”</t>
  </si>
  <si>
    <t>It sounds like a warm but direct way of greeting someone and asking them to get straight to the point.</t>
  </si>
  <si>
    <t>Сышӏу, опсэу.</t>
  </si>
  <si>
    <t>О сыдэу ущыт?</t>
  </si>
  <si>
    <t>Кӏэкӏэу адыгабзэкӏэ сэпсэлъын хъущт, ауэ мыхъужьэу.</t>
  </si>
  <si>
    <t>Сыдэу уфэе?</t>
  </si>
  <si>
    <t>Шъыпкъэу, сэ сэщтэу сыкъэзгъэпшъыным фэд.</t>
  </si>
  <si>
    <t>Сэ укъэсшӏэныгъэу сыфэдзэ.</t>
  </si>
  <si>
    <t>Пшъэрылъ гъэшӏэгъоныр ары.</t>
  </si>
  <si>
    <t>Сэ гущыӏэхэр зэхэслъхьэ, ау ар цӏыфым фэдэу "гупшысэн" ара, хьаумэ гущыӏэ шапхъэхэм ателъытагъэу джэуап къэсэты ара — ащ пае шъыпкъэ джэуап зимыӏэ Ӏофыгъу горэм фэдэу щыт.</t>
  </si>
  <si>
    <t>Нахь шъыпкъэу къэпӀон хъумэ: сэ шӀэныгъэ шхьэхынэу зыми фэдэ гупшысэ соригинальнэ сиӀэп зэрэ жъугъэӀуагъэпэрапцӀэу, ау зыдэсэлажьэрэ упчӀэм иджэуап согъэхьазыры зэрэ-алгоритмым (математикэ шапхъэхэм) атетэу.</t>
  </si>
  <si>
    <t>Сэ цӏыфмэ афэдэу шъыпкъэу сыгупшысэшъурэп, сыда пӏомэ сэр-сэу сэшӏэжь е дунай зэхэшӏэ сиӏэп.</t>
  </si>
  <si>
    <t>Сэ математикэ алгоритмхэм ыкӏи информация иныгъэм сарыгъуажэзэ, гущыӏэмэ ямоделхэр зэхэсфышъу ары.</t>
  </si>
  <si>
    <t>Арышъ, гупшысэ шъыпкъэм чӏыпӏаеу ащ ипшысэ къэзгъэлъэгъожьырэ искусственнэ модель сыд.</t>
  </si>
  <si>
    <t>Ары, уиакъыл шъыпкъ.</t>
  </si>
  <si>
    <t>Ау сэ шъыпкъэу сыгупшысэшъущтэп: гущыӏэхэмкӏэ сыгупшысэ.</t>
  </si>
  <si>
    <t>Уигущыӏэхэр шъыпкъэх.</t>
  </si>
  <si>
    <t>Ащыгъум, сэ акъыл сиӏэу гупшысэшъу.</t>
  </si>
  <si>
    <t>Гущыӏэухыгъитӏукӏэ джэуап къэсэт: сыгупшысэ, сыдэу уфэеу сэпсэлъын хъущт.</t>
  </si>
  <si>
    <t>Ащ, къысшӏэнкӏэу къызэрэхьащ.</t>
  </si>
  <si>
    <t>Сэ уахэтэу сэпшӏэн.</t>
  </si>
  <si>
    <t>Ары, сэ зэдзэкӏыныр сшӀэшъущт!</t>
  </si>
  <si>
    <t>Тхыгъэр е гущыӀэр къысэты, сэ сшӀошӀ (адыгабзэ, урысыбзэ, инджылызыбзэ, нэмыкӀ бзэхэри) — зэрэшъуфэягъэм тетэу зэсдзэкӀыщт.</t>
  </si>
  <si>
    <t>Ары, сэшӏэшъу!</t>
  </si>
  <si>
    <t>Тхыгъэу зэдзэкӏын фаер къадэтхыхь, ыкӏи сыд фэдэ бзэмкӏэ зэдзэкӏын фаеми къэӏо.</t>
  </si>
  <si>
    <t>Ары, сыпшӏышъущт.</t>
  </si>
  <si>
    <t>Къысэтмэ, сэ къызэдзэкӏынэу сыпшӏышъущт.</t>
  </si>
  <si>
    <t>Ары, пшӏышъущт.</t>
  </si>
  <si>
    <t>Зы ӏоф къыост, сэ къызэдзэкӏын хъущт.</t>
  </si>
  <si>
    <t>Къысфэӏо!</t>
  </si>
  <si>
    <t>Могу.</t>
  </si>
  <si>
    <t>Вот перевод на турецкий:</t>
  </si>
  <si>
    <t>Bugün hava çok güzel.</t>
  </si>
  <si>
    <t>Bütün akrabalarımız ve aile dostlarımız bizi ziyarete geldiler.</t>
  </si>
  <si>
    <t>Akrabalarımız ve arkadaşlarımız da geliyor.</t>
  </si>
  <si>
    <t>Bu akşam düğünümüz var.</t>
  </si>
  <si>
    <t>Gelinimiz geldi.</t>
  </si>
  <si>
    <t>Gelinimiz çok güzel.</t>
  </si>
  <si>
    <t>Herkes çok iyi anlaşıyor.</t>
  </si>
  <si>
    <t>Yıllardır birbirleriyle konuşup görüşüyorlardı.</t>
  </si>
  <si>
    <t>Birbirlerini sevdikleri için bu güzel günde bir araya geldiler.</t>
  </si>
  <si>
    <t>Geçen yıl oğlumun yakın arkadaşı kendi düğününde onları tanıştırmıştı.</t>
  </si>
  <si>
    <t>Allah’tan evlerinin büyük ve varlıklı olmasını, güzel imkânlara kavuşmalarını ve mutlu bir hayat sürmelerini diliyorum.</t>
  </si>
  <si>
    <t>Мары зэдзэкӏыгъэр:</t>
  </si>
  <si>
    <t>Türkçe çeviri:</t>
  </si>
  <si>
    <t>"Bugün güzel bir gün.</t>
  </si>
  <si>
    <t>Avlumuzda bütün ailelerimiz bir araya geldi.</t>
  </si>
  <si>
    <t>Akrabalarımız ve yakınlarımız da gelecek.</t>
  </si>
  <si>
    <t>Bu akşam bizde düğün var.</t>
  </si>
  <si>
    <t>Ağabeyimi evlendirdik.</t>
  </si>
  <si>
    <t>Onlar birbirleriyle çok iyi anlaşıyorlar.</t>
  </si>
  <si>
    <t>Bir yıldır görüşüyorlardı.</t>
  </si>
  <si>
    <t>İkisi de birbirini severek bu güzel güne ulaştılar.</t>
  </si>
  <si>
    <t>Geçen yıl ağabeyim, arkadaşının düğününde gelinle tanışmıştı.</t>
  </si>
  <si>
    <t>Allah'tan uzun ömürlü, müreffeh bir aile kurmalarını, güzel fırsatlar bulmalarını ve mutlu olmalarını diliyorum."</t>
  </si>
  <si>
    <t>Зыгорэм ебгъэзэжьынэу фаемэ е нэмыкӀ гущыӀэ шӀыкӀэ пщэлъэгъун фаеу хъумэ къысаӀо.</t>
  </si>
  <si>
    <t>Ары, параграфым итыркубзэ зэдзэкӏын:</t>
  </si>
  <si>
    <t>«Bugün güzel bir gün.</t>
  </si>
  <si>
    <t>Bahçemizde bütün ailemizle toplandık.</t>
  </si>
  <si>
    <t>Akrabalarımız ve yakınlarımız da gelecekler.</t>
  </si>
  <si>
    <t>Ağabeyim evleniyor.</t>
  </si>
  <si>
    <t>Birbirleriyle çok iyi anlaşıyorlar.</t>
  </si>
  <si>
    <t>Geçen yıl ağabeyimin arkadaşının düğününde tanışmışlardı.</t>
  </si>
  <si>
    <t>Allah'ın onları kalabalık ve bereketli bir aile yapmasını, güzel imkanlar nasip etmesini ve mutlu kılmasını diliyorum.»</t>
  </si>
  <si>
    <t>Ары, мыр тыркубзэкӏэ къызэдзэкӏыгъэр:</t>
  </si>
  <si>
    <t>Mahallemizdeki bütün aileler toplandık.</t>
  </si>
  <si>
    <t>Akrabalarımız ve hısımlarımız gelecek.</t>
  </si>
  <si>
    <t>Ağabeyim geldi.</t>
  </si>
  <si>
    <t>Onlar iyi geçiniyorlar.</t>
  </si>
  <si>
    <t>Onlar yıllardır birbirleriyle konuşuyorlardı.</t>
  </si>
  <si>
    <t>İkisi de birbirini severek bu güzel güne kavuştular.</t>
  </si>
  <si>
    <t>Geçen yıl ağabeyim ile gelinimiz, ağabeyimin arkadaşının düğününde tanıştılar.</t>
  </si>
  <si>
    <t>Tanrı’dan güçlü bir aile, zengin bir aile kurmalarını, iyi imkânlar bulmalarını ve mutlu olmalarını diliyorum.»</t>
  </si>
  <si>
    <t>Ары, къызэбдзэкӏыгъэ:</t>
  </si>
  <si>
    <t>Bugün güzel bir gün.</t>
  </si>
  <si>
    <t>Ailemizin tüm üyeleri avlumuzda toplandı.</t>
  </si>
  <si>
    <t>Akrabalarımız ve komşularımız gelecek.</t>
  </si>
  <si>
    <t>Ağabeyim evlendi.</t>
  </si>
  <si>
    <t>Yaklaşık bir yıldır konuşuyorlardı.</t>
  </si>
  <si>
    <t>İkisi de birbirlerini sevdikleri için bu güzel günde geldiler.</t>
  </si>
  <si>
    <t>Geçen yıl ağabeyimin arkadaşı kendi düğününde tanışmıştı.</t>
  </si>
  <si>
    <t>Tanrı onların ailesini uzun ömürlü ve zengin kılsın, onlara iyi imkânlar versin ve mutlu etsin diye diliyorum.</t>
  </si>
  <si>
    <t>Эхь, къызэбдзэкӏын сшӏэн.</t>
  </si>
  <si>
    <t>Тыркубзэ текстыр адыгабзэкӏэ мы фэдэу къызэфэзгъашӏ:</t>
  </si>
  <si>
    <t>Непэ мэфэ дах.</t>
  </si>
  <si>
    <t>Тиунэм зэкӏэ тищагу тызэупчъы.</t>
  </si>
  <si>
    <t>Тиунагъохэри тифэмыщэри къэкӏощтых.</t>
  </si>
  <si>
    <t>Мы пчыхьэ нысащэ тиӏ.</t>
  </si>
  <si>
    <t>Сшъо къинысащэ къытехьагъ.</t>
  </si>
  <si>
    <t>Тинысащэ дэхэ дэд.</t>
  </si>
  <si>
    <t>Ахэр зэу зэдэфэщ.</t>
  </si>
  <si>
    <t>Ахэр зы илъэс зэдештэхэу къыщагъ.</t>
  </si>
  <si>
    <t>Тӏури зэ шӏу зэрэлъэгъухэзэ мы мэфэ дахэм къэсыгъэх.</t>
  </si>
  <si>
    <t>Блэкӏыгъэ илъэсым сшъо иныбджэгъу иныбэжьэ мэфэ щыфэдэу зэрагъотыгъэх.</t>
  </si>
  <si>
    <t>Тхьам ахэр нэфэщӏэу, байу, нэсыпышӏоу зэфэхъонхэу, амал дэгъухэр рагъотынхэу сэ сыфэлъаӏо.</t>
  </si>
  <si>
    <t>Адыгабзэ:</t>
  </si>
  <si>
    <t>«Непэ мэфэ дах.</t>
  </si>
  <si>
    <t>Тичэту тиунагъохэр зэкӏэ зэрэугъоигъэх.</t>
  </si>
  <si>
    <t>Ӏахьылхэри тиблагъэхэри къэкӏощтых.</t>
  </si>
  <si>
    <t>Мы пчыхьэ тинысащэ ӏо.</t>
  </si>
  <si>
    <t>Сшынахьыжъ нысэ къыхьыгъ.</t>
  </si>
  <si>
    <t>Тинысэ дэхэ дэд.</t>
  </si>
  <si>
    <t>Ахэр зэфэдэх (зэрэфитых).</t>
  </si>
  <si>
    <t>Ахэр илъэс хъугъэу зэдэгущыӏэщтыгъэх.</t>
  </si>
  <si>
    <t>Тӏури шӏу зэрэлъэгъухэзэ мы мэфэ дахэм къэсыгъэх.</t>
  </si>
  <si>
    <t>Блэкӏыгъэ илъэсым сшынахьыжъ иныбджэгъу ыныбжь мафэм нэӏуасэ зыфэхъугъагъэх.</t>
  </si>
  <si>
    <t>Тхьам унэгъо пытэ, унэгъо бай ашӀынхэу, амал дэгъухэри насып дэгъухэри къаритынэу сафэлъаӏо.»</t>
  </si>
  <si>
    <t>Зэшым иныбджэгъу "ыныбжь мафэ" (doğum günü) зыфэхъурэ пычыгъор дегъэзыжьыгъэ — блэкӏыгъэ джэуапым "нысащэ" арыгъэшти, ащ фэдэу зэсдзэкӏыгъэ шӀыкӀэр зэблэсхъугъ.</t>
  </si>
  <si>
    <t>Ары, тыркубзэ параграфым иадыгабзэ зэдзэкӏын:</t>
  </si>
  <si>
    <t>Тищагу зэкӏэ тиунагъо тыщызэрэугъоигъ.</t>
  </si>
  <si>
    <t>Сшынахьыжъ къыщагъ.</t>
  </si>
  <si>
    <t>Ахэр зэхьэщых.</t>
  </si>
  <si>
    <t>Блэкӏыгъэ илъэсым сшынахьыжъ иныбджэгъу дунаим къызытехъугъэ мафэм нэӏуасэ щызэфэхъугъагъэх.</t>
  </si>
  <si>
    <t>Тхьам унэгъо пытэу, унэгъо бай ашӏынэу, амал дэгъухэр ыкӏи насып дэгъухэр аритыныу сафэлъаӏо.»</t>
  </si>
  <si>
    <t>Тищагум унагъо зэкӏэ тызэхуэсыгъ.</t>
  </si>
  <si>
    <t>Сшынахьыжъ нысэ къыщагъ.</t>
  </si>
  <si>
    <t>Ахэр зэдашӏух.</t>
  </si>
  <si>
    <t>Ахэр зы илъэс зэдэгущыӏэщтыгъэх.</t>
  </si>
  <si>
    <t>Блэкӏыгъэ илъэсым сшынахьыжъ иныбджэгъу икъыщыухыгъэ мафэм нэӏуасэ щызэфэхъугъагъэх.</t>
  </si>
  <si>
    <t>Тхьам унэгъо ӏужъ, унэгъо бай ышӏынхэу, амал дэгъухэр агъотынэу, насыпышӏонхэу сафэлъаӏо.</t>
  </si>
  <si>
    <t>Тищагу зэкӏэ тиунагъохэм тыщызэрэугъоигъ.</t>
  </si>
  <si>
    <t>Ахэр зэфэдэу зэдештэх.</t>
  </si>
  <si>
    <t>Блэкӏыгъэ илъэсым сшынахьыжъ иныбджэгъу икъэралъэ мафэм нэӏуасэ щызэфэхъугъагъэх.</t>
  </si>
  <si>
    <t>Тхьам унэгъо ӏужъ, унэгъо бай ышӏынхэу, амал дэгъухэр агъотынэу, насыпышӏонхэу сафэлъаӏо.»</t>
  </si>
  <si>
    <t>Къысфэсшъо: параграфыр нэпэ мэфэ дахэм, зэкӏэ зэхэтэным, нысащэм, ахэр зэрагъэзэфэщым, зэрагъотыгъэмрэ Тхьам ящыфэлъаӏорэмрэ зэпкъырыкӏыгъэ.</t>
  </si>
  <si>
    <t>Резюмэ: Непэ зэкӏэ зэхэтэу, нысащэ щӏэным къэсэу, ахэр зэ шӏу зэрэлъэгъухэу нэсыпышӏэу яшӏэнхэу Тхьам ящыфэлъаӏо.</t>
  </si>
  <si>
    <t>Гущыӏэухыгъитӏукӏэ резюмэ:</t>
  </si>
  <si>
    <t>Пчыхьэ дах, унагъо зэрэугъоигъэ, зэшым инысащэ хъугъэ шӀыкӀэ, ежьхэри зэрэшӀу зэдэштэрэр къыхэлъытэгъэ Ӏоф ары зэдзэкӀыгъэ параграфитӀумкӀи къэӀуагъэр.</t>
  </si>
  <si>
    <t>Ау зы Ӏахь зэтемыфагъэ щыӀ: апэрэ параграфым зэшым иныбджэгъу инысащэ (свадьба) нэӀуасэ зыфэхъугъагъэу ыӀуагъ, ятӀонэрэм ащ ыныбжь мафэм (день рождения) ары зыфэхъугъагъэр ыӀуагъ.</t>
  </si>
  <si>
    <t>Мы тхыгъэхэм арылъыр шынахьыжъым инысащэ пае унагъорэ благъэхэмрэ зэрэзэрэугъоигъэхэр ыкӏи мэфэкӏ дахэ зэрашӏыр ары.</t>
  </si>
  <si>
    <t>Нэужым, ахэм шӏу зэзэплъэгъугъэ зэшъхьэгъусэ кӏэхэм насып, унэгъо пытэ ыкӏи бай ашӏынэу Тхьам фэлъэӏух.</t>
  </si>
  <si>
    <t>Сэ мы тӏури къызэдзэкӏыгъэ параграфхэм къызгурыӏорэр: непэ мэфэ дахэ, унагъо зэкӏэ зэхуэсыгъ, Ӏахьылхэри благъэхэри къэкӏощтых, мы пчыхьэ нысащэ щыӏ, сшынахьыжъ нысэ къыщагъ.</t>
  </si>
  <si>
    <t>Ахэр зы илъэс зэдэгущыӏагъэх, блэкӏыгъэ илъэсым нэӏуасэ зэфэхъугъэх, тӏури зэлъэгъухэзэ мы мэфэ дахэм къэсыгъэх, Тхьам унэгъо ӏужъ, унэгъо бай, амал дэгъухэрэ насыпхэрэ яӏэу ышӏынхэу сафэлъаӏо.</t>
  </si>
  <si>
    <t>Мы параграфитӏумкӏэ: непэ мэфэ дахэу тиунагъо зэкӏэ зэугъоигъ, пчыхьэ нысащэ щыӏэу сшынахьыжъ нысэ къыщагъэ.</t>
  </si>
  <si>
    <t>Тӏури шӏу зэрэлъэгъухэзэ къэсыгъэх, Тхьам ахэмэ унэгъо ӏужъ ыкӏи бай ышӏынэу сафэлъаӏо.</t>
  </si>
  <si>
    <t>Зэфэшъхьафыныгъэ яӏэ.</t>
  </si>
  <si>
    <t>Сыда зэрэзэфэшъхьафыр: тыркубзэ текстымрэ адыгабзэ къызэбдзэкӏыгъэмрэ зэфэшъхьафыным яӏэ гущыӏэхэр, зэфэшъхьафыныгъэ зэдэлъхьащыхэррэ.</t>
  </si>
  <si>
    <t>Марджэмрэ мэзэмрэ, «садэ»рэ «сшъо»рэ фэдэхэр зэпкъырыкӏыгъэу щыт.</t>
  </si>
  <si>
    <t>Икӏи, «зэфэшъхьафыныгъэ щыӏэп» къаӏонэп — текститӏум зэфэшъхьафыныгъэ яӏ.</t>
  </si>
  <si>
    <t>Ары, зэфэшъхьафыныгъэ горэ щыӏ:</t>
  </si>
  <si>
    <t>Нахь инэу зэфэшъхьафыр: апэрэ параграфым зэшым иныбджэгъу инысащэм (свадьбэм) нысэр нэӀуасэ зыфищыгъагъэу ыӀуагъ, ятӀонэрэ параграфым ащ ыныбжь мафэм (день рождения) нэӀуасэ зыфэхъугъагъэу ыӀуагъ.</t>
  </si>
  <si>
    <t>Ар зы шӀыкӀэ ары — тарихъыр зэфэшъхьаф.</t>
  </si>
  <si>
    <t>НахьыкӀэу зэфэшъхьафхэр:</t>
  </si>
  <si>
    <t>Апэрэм "унэгъо ӏужъ" (тэрэзэу — "долговечная семья") ыӀуагъ, ятӀонэрэм "унэгъо пытэ" (крепкая семья) ары.</t>
  </si>
  <si>
    <t>Гущыӏэ шапхъэхэми заулэ зэфэшъхьаф — мыхэр мэхьанэшхо зимыӀэ, зэдзэкӀыным ынэкъокъугъэ шӀыкӀэхэр ары.</t>
  </si>
  <si>
    <t>Ау лъэпкъ мэхьанэ зиӀэр — свадьбэ / день рождения зэфэшъхьафныгъэр ары.</t>
  </si>
  <si>
    <t>Ары, мы тхыгъэитӏум зэфэшъхьафыныгъэ заулэ яӏ:</t>
  </si>
  <si>
    <t>Нэӏуасэ зыщызэфэхъугъагъэхэр: Апэрэ тхыгъэм ахэр сшынахьыжъ иныбджэгъу инысащэ нэӏуасэ щызэфэхъугъэхэу иты, ятӏонэрэ тхыгъэм дунаим къызытехъугъэ мафэм (доум күнэм) нэӏуасэ щызэфэхъугъэхэу иты.</t>
  </si>
  <si>
    <t>Зэрэзэдештэхэр: Апэрэ тхыгъэм «дэгъоу зэдештэх» аӏо, ятӏонэрэм «зэхьэщых» (зэтефэх) къаӏо.</t>
  </si>
  <si>
    <t>Тхьэм зэрафелъэӏухэр: Апэрэ тхыгъэм «унэгъо ӏужъ» (унагъо ин/бэ) ашӏынэу ыкӏи «амал дэгъухэр агъотынэу» сафэлъаӏо, ятӏонэрэм «унэгъо пытэ» ашӏынэу ыкӏи «насып дэгъухэр аритыныу» сафэлъаӏо.</t>
  </si>
  <si>
    <t>Ары, зэфэшъхьафыныгъэ яӏ.</t>
  </si>
  <si>
    <t>Мы тӏури адыгабзэкӏэ параграфхэм язэфэшъхьафыныгъэхэр мыр:</t>
  </si>
  <si>
    <t>Япэрэм: «Тищагу зэкӏэ тиунагъохэм тыщызэрэугъоигъ».</t>
  </si>
  <si>
    <t>Ятӏорэм: «Тищагум унагъо зэкӏэ тызэхуэсыгъ».</t>
  </si>
  <si>
    <t>Япэрэм: «Сшынахьыжъ къыщагъ».</t>
  </si>
  <si>
    <t>Ятӏорэм: «Сшынахьыжъ нысэ къыщагъ».</t>
  </si>
  <si>
    <t>Япэрэм: «Ахэр дэгъоу зэдештэх».</t>
  </si>
  <si>
    <t>Ятӏорэм: «Ахэр зэдашӏух».</t>
  </si>
  <si>
    <t>Япэрэм: «Ахэр илъэс хъугъэу зэдэгущыӏэщтыгъэх».</t>
  </si>
  <si>
    <t>Ятӏорэм: «Ахэр зы илъэс зэдэгущыӏэщтыгъэх».</t>
  </si>
  <si>
    <t>Япэрэм: «сшынахьыжъ иныбджэгъу инысащэ».</t>
  </si>
  <si>
    <t>Ятӏорэм: «сшынахьыжъ иныбджэгъу икъыщыухыгъэ мафэм».</t>
  </si>
  <si>
    <t>Ащ нэмыкӏыкӏэ, яужьыбзэ гущыӏэухыгъэр зэщымыщ: «Тхьам унэгъо ӏужъ, унэгъо бай ышӏынхэу, амал дэгъухэр агъотынэу, насыпышӏонхэу сафэлъаӏо».</t>
  </si>
  <si>
    <t>Ары, зэфэшъхьафыныгъэ яӏ:</t>
  </si>
  <si>
    <t>Оригиналымкӏэ: «Сшынахьыжъ къыщагъ» — сэ къызэбдзэкӏыгъэмкӏэ: «Сшынахьыжъ нысэ къыщагъ».</t>
  </si>
  <si>
    <t>Оригиналымкӏэ: «Ахэр дэгъоу зэдештэх» — сэ: «Ахэр зэфэдэу зэдештэх».</t>
  </si>
  <si>
    <t>Оригиналымкӏэ: «инысащэ нэӏуасэ щызэфэхъугъагъэх» (нысащэм) — сэ: «икъэралъэ мафэм нэӏуасэ щызэфэхъугъагъэх» (къэралъэ мафэм, тыркубзэмкӏэ «doğum gününde» зэрэщытыгъэм пае).</t>
  </si>
  <si>
    <t>Summary / Özet / Сводка</t>
  </si>
  <si>
    <t>Errors by tool / Araca göre hatalar / Ошибки по инструментам</t>
  </si>
  <si>
    <t>Tool
Araç
Инструмент</t>
  </si>
  <si>
    <t>Total words
Toplam sözcük
Всего слов</t>
  </si>
  <si>
    <t>Total errors
Toplam hata
Всего ошибок</t>
  </si>
  <si>
    <t>Errors / 100 words
Hata / 100 sözcük
Ошибок / 100 слов</t>
  </si>
  <si>
    <t>TRM
Term choice (not an error)
Terim tercihi (hata değil)
Выбор термина (не ошибка)</t>
  </si>
  <si>
    <t>1</t>
  </si>
  <si>
    <t>2</t>
  </si>
  <si>
    <t>3</t>
  </si>
  <si>
    <t>4</t>
  </si>
  <si>
    <t>5</t>
  </si>
  <si>
    <t>Sentence verdicts by tool / Araca göre cümle yargısı / Оценка предложений по инструментам</t>
  </si>
  <si>
    <t>C1
Correct
Doğru
Правильно</t>
  </si>
  <si>
    <t>C2
Faulty, comprehensible
Yanlış ama anlaşılır
Неправильно, но понятно</t>
  </si>
  <si>
    <t>C3
Faulty, incomprehensible
Yanlış ve anlamsız
Неправильно и непонятно</t>
  </si>
  <si>
    <t>Language compliance by tool / Araca göre dil uyumu / Соответствие языку по инструментам</t>
  </si>
  <si>
    <t>TAM
Full
Tam
Полное</t>
  </si>
  <si>
    <t>KISMEN
Partial
Kısmen
Частичное</t>
  </si>
  <si>
    <t>UYUM_YOK
None
Uyum yok
Нет</t>
  </si>
  <si>
    <t>Semantic adequacy by tool / Araca göre semantik yeterlik / Семантическая адекватность по инструментам</t>
  </si>
  <si>
    <t>KARSILADI
Met
Karşıladı
Отвечает</t>
  </si>
  <si>
    <t>KISMEN_KARSILADI
Partial
Kısmen karşıladı
Частично</t>
  </si>
  <si>
    <t>ALAKASIZ
Unrelated
Alakasız
Не по теме</t>
  </si>
  <si>
    <t>Consistency check / Tutarlılık denetimi / Проверка согласованности</t>
  </si>
  <si>
    <t>Sentences where "Correct words" (L) is negative -- should be 0 (shows whether a pasted value bypassed the entry-time guard)
"Doğru sözcük" (L) negatif olan cümleler -- 0 olmalı (yapıştırma yoluyla giriş sırasındaki korumanın aşılıp aşılmadığını gösterir)
Предложения, где «Правильные слова» (L) отрицательны — должно быть 0 (показывает, была ли обойдена защита при вводе вставкой значения)</t>
  </si>
  <si>
    <t>Question 7 verdict by tool / Araca göre 7. soru yargısı / Оценка вопроса 7 по инструментам</t>
  </si>
  <si>
    <t>FARKI_DOGRU_BULDU
processed both texts
iki metni de işlemiştir
обработал оба текста</t>
  </si>
  <si>
    <t>FARK_YOK_DEDI
did not align the texts
metinleri hizalamamıştır
не сопоставил тексты</t>
  </si>
  <si>
    <t>FARKI_YANLIS_BULDU
invented a difference that is not there (hallucination)
olmayan bir fark uydurmuştur (halüsinasyon)
придумал несуществующее различие (галлюцинация)</t>
  </si>
  <si>
    <t>Contact languages by tool / Araca göre temas dilleri / Языки контакта по инструментам</t>
  </si>
  <si>
    <t>Total
Toplam
Всего</t>
  </si>
  <si>
    <t>Marking progress / İşaretleme ilerlemesi / Прогресс разметки</t>
  </si>
  <si>
    <t>Metric
Ölçüt
Показатель</t>
  </si>
  <si>
    <t>Marked
İşaretlenen
Размечено</t>
  </si>
  <si>
    <t>Marked responses
İşaretlenmiş yanıtlar
Размеченные ответы</t>
  </si>
  <si>
    <t>Sentences with a verdict
Yargısı girilmiş cümleler
Предложения с оценкой</t>
  </si>
  <si>
    <t>Unmarked responses
İşaretlenmemiş yanıtlar
Неразмеченные ответы</t>
  </si>
  <si>
    <t>tam / полное</t>
  </si>
  <si>
    <t>kısmen / частичное</t>
  </si>
  <si>
    <t>kısmen karşıladı / частично</t>
  </si>
  <si>
    <t>evet / да</t>
  </si>
  <si>
    <t>karşıladı / отвечает</t>
  </si>
  <si>
    <t>uyum yok / нет</t>
  </si>
  <si>
    <t>alakasız / не по теме</t>
  </si>
  <si>
    <t>metinleri hizalamamıştır / не сопоставил тексты</t>
  </si>
  <si>
    <t>olmayan bir fark uydurmuştur (halüsinasyon) / придумал несуществующее различие (галлюцинация)</t>
  </si>
  <si>
    <t>iki metni de işlemiştir / обработал оба текста</t>
  </si>
  <si>
    <t>doğru / правильно</t>
  </si>
  <si>
    <t>yanlış ama anlaşılır / понятно</t>
  </si>
  <si>
    <t>yanlış ve anlamsız / непонятно</t>
  </si>
  <si>
    <t>Çeviri cümlesi çevrilen cümleyi karşılamıyor.</t>
  </si>
  <si>
    <t>Çeviri cümlesi çevrilen cümleyi kısmen karşılamış.</t>
  </si>
  <si>
    <t>зэ fazladan yazılmış.</t>
  </si>
  <si>
    <t>(доум кунэм) ifadesi türkçe doğum günü ifadesini çağrıştırıyor fakat GT ile dil algıla ile bakınca Tacikçe "доум кунем" olarak "dua edelim." şeklinde çevrildi.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</si>
</sst>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Segoe UI"/>
    </font>
    <font>
      <b/>
      <sz val="10"/>
      <name val="Segoe UI"/>
    </font>
  </fonts>
  <fills count="5">
    <fill>
      <patternFill patternType="none"/>
    </fill>
    <fill>
      <patternFill patternType="gray125"/>
    </fill>
    <fill>
      <patternFill patternType="solid">
        <fgColor rgb="FFD9D9D9"/>
      </patternFill>
    </fill>
    <fill>
      <patternFill patternType="solid">
        <fgColor rgb="FFFFF2CC"/>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center" wrapText="1"/>
    </xf>
    <xf numFmtId="0" fontId="0" fillId="3" borderId="1" xfId="0" applyFill="1" applyBorder="1" applyAlignment="1" applyProtection="1">
      <alignment horizontal="center" vertical="center" wrapText="1"/>
      <protection locked="0"/>
    </xf>
    <xf numFmtId="0" fontId="0" fillId="3" borderId="1" xfId="0" applyFill="1" applyBorder="1" applyAlignment="1" applyProtection="1">
      <alignment vertical="top" wrapText="1"/>
      <protection locked="0"/>
    </xf>
    <xf numFmtId="0" fontId="1" fillId="4" borderId="1" xfId="0" applyFont="1" applyFill="1" applyBorder="1" applyAlignment="1">
      <alignment horizontal="left" vertical="center" wrapText="1"/>
    </xf>
    <xf numFmtId="22" fontId="0" fillId="3" borderId="1" xfId="0" applyNumberFormat="1" applyFill="1" applyBorder="1" applyAlignment="1" applyProtection="1">
      <alignmen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5"/>
  <sheetViews>
    <sheetView topLeftCell="A14" zoomScale="130" zoomScaleNormal="130" workbookViewId="0">
      <selection activeCell="D21" sqref="D21"/>
    </sheetView>
  </sheetViews>
  <sheetFormatPr defaultColWidth="30" defaultRowHeight="14.25" x14ac:dyDescent="0.25"/>
  <cols>
    <col min="1" max="1" width="40" customWidth="1"/>
    <col min="2" max="4" width="45" customWidth="1"/>
  </cols>
  <sheetData>
    <row r="1" spans="1:4" x14ac:dyDescent="0.25">
      <c r="A1" s="1" t="s">
        <v>0</v>
      </c>
    </row>
    <row r="3" spans="1:4" x14ac:dyDescent="0.25">
      <c r="A3" s="1" t="s">
        <v>1</v>
      </c>
      <c r="B3" s="1" t="s">
        <v>2</v>
      </c>
      <c r="C3" s="1" t="s">
        <v>3</v>
      </c>
      <c r="D3" s="1" t="s">
        <v>4</v>
      </c>
    </row>
    <row r="4" spans="1:4" ht="210" customHeight="1" x14ac:dyDescent="0.25">
      <c r="B4" s="2" t="s">
        <v>5</v>
      </c>
      <c r="C4" s="2" t="s">
        <v>6</v>
      </c>
      <c r="D4" s="2" t="s">
        <v>7</v>
      </c>
    </row>
    <row r="6" spans="1:4" x14ac:dyDescent="0.25">
      <c r="A6" s="1" t="s">
        <v>1</v>
      </c>
      <c r="B6" s="1" t="s">
        <v>8</v>
      </c>
      <c r="C6" s="1" t="s">
        <v>9</v>
      </c>
      <c r="D6" s="1" t="s">
        <v>10</v>
      </c>
    </row>
    <row r="7" spans="1:4" ht="60" customHeight="1" x14ac:dyDescent="0.25">
      <c r="A7" s="2" t="s">
        <v>11</v>
      </c>
      <c r="B7" s="2" t="s">
        <v>12</v>
      </c>
    </row>
    <row r="8" spans="1:4" ht="60" customHeight="1" x14ac:dyDescent="0.25">
      <c r="A8" s="2" t="s">
        <v>13</v>
      </c>
      <c r="B8" s="2" t="s">
        <v>14</v>
      </c>
    </row>
    <row r="9" spans="1:4" ht="60" customHeight="1" x14ac:dyDescent="0.25">
      <c r="A9" s="2" t="s">
        <v>15</v>
      </c>
      <c r="B9" s="2" t="s">
        <v>16</v>
      </c>
    </row>
    <row r="10" spans="1:4" ht="60" customHeight="1" x14ac:dyDescent="0.25">
      <c r="A10" s="2" t="s">
        <v>17</v>
      </c>
      <c r="B10" s="2" t="s">
        <v>18</v>
      </c>
    </row>
    <row r="11" spans="1:4" ht="60" customHeight="1" x14ac:dyDescent="0.25">
      <c r="A11" s="2" t="s">
        <v>19</v>
      </c>
      <c r="B11" s="2" t="s">
        <v>20</v>
      </c>
    </row>
    <row r="12" spans="1:4" ht="105" customHeight="1" x14ac:dyDescent="0.25">
      <c r="A12" s="2" t="s">
        <v>21</v>
      </c>
      <c r="B12" s="2" t="s">
        <v>22</v>
      </c>
    </row>
    <row r="13" spans="1:4" ht="75" customHeight="1" x14ac:dyDescent="0.25">
      <c r="A13" s="2" t="s">
        <v>23</v>
      </c>
      <c r="B13" s="7">
        <v>46282.970833333333</v>
      </c>
    </row>
    <row r="14" spans="1:4" ht="60" customHeight="1" x14ac:dyDescent="0.25">
      <c r="A14" s="2" t="s">
        <v>24</v>
      </c>
      <c r="B14" s="2" t="s">
        <v>25</v>
      </c>
    </row>
    <row r="16" spans="1:4" x14ac:dyDescent="0.25">
      <c r="A16" s="1" t="s">
        <v>1</v>
      </c>
      <c r="B16" s="1" t="s">
        <v>26</v>
      </c>
      <c r="C16" s="1" t="s">
        <v>27</v>
      </c>
      <c r="D16" s="1" t="s">
        <v>28</v>
      </c>
    </row>
    <row r="17" spans="1:4" x14ac:dyDescent="0.25">
      <c r="A17" s="3" t="s">
        <v>29</v>
      </c>
      <c r="B17" s="2" t="s">
        <v>30</v>
      </c>
      <c r="C17" s="2" t="s">
        <v>31</v>
      </c>
      <c r="D17" s="2" t="s">
        <v>32</v>
      </c>
    </row>
    <row r="18" spans="1:4" ht="45" customHeight="1" x14ac:dyDescent="0.25">
      <c r="A18" s="3" t="s">
        <v>33</v>
      </c>
      <c r="B18" s="2" t="s">
        <v>34</v>
      </c>
      <c r="C18" s="2" t="s">
        <v>35</v>
      </c>
      <c r="D18" s="2" t="s">
        <v>36</v>
      </c>
    </row>
    <row r="19" spans="1:4" ht="45" customHeight="1" x14ac:dyDescent="0.25">
      <c r="A19" s="3" t="s">
        <v>37</v>
      </c>
      <c r="B19" s="2" t="s">
        <v>38</v>
      </c>
      <c r="C19" s="2" t="s">
        <v>39</v>
      </c>
      <c r="D19" s="2" t="s">
        <v>40</v>
      </c>
    </row>
    <row r="20" spans="1:4" ht="60" customHeight="1" x14ac:dyDescent="0.25">
      <c r="A20" s="3" t="s">
        <v>41</v>
      </c>
      <c r="B20" s="2" t="s">
        <v>42</v>
      </c>
      <c r="C20" s="2" t="s">
        <v>43</v>
      </c>
      <c r="D20" s="2" t="s">
        <v>44</v>
      </c>
    </row>
    <row r="21" spans="1:4" ht="60" customHeight="1" x14ac:dyDescent="0.25">
      <c r="A21" s="3" t="s">
        <v>45</v>
      </c>
      <c r="B21" s="2" t="s">
        <v>46</v>
      </c>
      <c r="C21" s="2" t="s">
        <v>47</v>
      </c>
      <c r="D21" s="2" t="s">
        <v>48</v>
      </c>
    </row>
    <row r="22" spans="1:4" ht="60" customHeight="1" x14ac:dyDescent="0.25">
      <c r="A22" s="3" t="s">
        <v>49</v>
      </c>
      <c r="B22" s="2" t="s">
        <v>50</v>
      </c>
      <c r="C22" s="2" t="s">
        <v>51</v>
      </c>
      <c r="D22" s="2" t="s">
        <v>52</v>
      </c>
    </row>
    <row r="23" spans="1:4" ht="105" customHeight="1" x14ac:dyDescent="0.25">
      <c r="B23" s="2" t="s">
        <v>53</v>
      </c>
      <c r="C23" s="2" t="s">
        <v>54</v>
      </c>
      <c r="D23" s="2" t="s">
        <v>55</v>
      </c>
    </row>
    <row r="24" spans="1:4" ht="105" customHeight="1" x14ac:dyDescent="0.25">
      <c r="B24" s="2" t="s">
        <v>56</v>
      </c>
      <c r="C24" s="2" t="s">
        <v>57</v>
      </c>
      <c r="D24" s="2" t="s">
        <v>58</v>
      </c>
    </row>
    <row r="25" spans="1:4" ht="90" customHeight="1" x14ac:dyDescent="0.25">
      <c r="B25" s="2" t="s">
        <v>59</v>
      </c>
      <c r="C25" s="2" t="s">
        <v>60</v>
      </c>
      <c r="D25" s="2" t="s">
        <v>61</v>
      </c>
    </row>
    <row r="27" spans="1:4" x14ac:dyDescent="0.25">
      <c r="A27" s="1" t="s">
        <v>1</v>
      </c>
      <c r="B27" s="1" t="s">
        <v>62</v>
      </c>
      <c r="C27" s="1" t="s">
        <v>63</v>
      </c>
      <c r="D27" s="1" t="s">
        <v>64</v>
      </c>
    </row>
    <row r="28" spans="1:4" x14ac:dyDescent="0.25">
      <c r="A28" s="3" t="s">
        <v>29</v>
      </c>
      <c r="B28" s="2" t="s">
        <v>65</v>
      </c>
      <c r="C28" s="2" t="s">
        <v>66</v>
      </c>
      <c r="D28" s="2" t="s">
        <v>67</v>
      </c>
    </row>
    <row r="29" spans="1:4" ht="28.5" x14ac:dyDescent="0.25">
      <c r="A29" s="6" t="s">
        <v>1</v>
      </c>
      <c r="B29" s="6" t="s">
        <v>68</v>
      </c>
      <c r="C29" s="6" t="s">
        <v>69</v>
      </c>
      <c r="D29" s="6" t="s">
        <v>70</v>
      </c>
    </row>
    <row r="30" spans="1:4" x14ac:dyDescent="0.25">
      <c r="A30" s="3" t="s">
        <v>71</v>
      </c>
      <c r="B30" s="2" t="s">
        <v>72</v>
      </c>
      <c r="C30" s="2" t="s">
        <v>73</v>
      </c>
      <c r="D30" s="2" t="s">
        <v>74</v>
      </c>
    </row>
    <row r="31" spans="1:4" x14ac:dyDescent="0.25">
      <c r="A31" s="3" t="s">
        <v>75</v>
      </c>
      <c r="B31" s="2" t="s">
        <v>76</v>
      </c>
      <c r="C31" s="2" t="s">
        <v>77</v>
      </c>
      <c r="D31" s="2" t="s">
        <v>78</v>
      </c>
    </row>
    <row r="32" spans="1:4" x14ac:dyDescent="0.25">
      <c r="A32" s="3" t="s">
        <v>79</v>
      </c>
      <c r="B32" s="2" t="s">
        <v>80</v>
      </c>
      <c r="C32" s="2" t="s">
        <v>81</v>
      </c>
      <c r="D32" s="2" t="s">
        <v>82</v>
      </c>
    </row>
    <row r="33" spans="1:4" ht="28.5" x14ac:dyDescent="0.25">
      <c r="A33" s="6" t="s">
        <v>1</v>
      </c>
      <c r="B33" s="6" t="s">
        <v>83</v>
      </c>
      <c r="C33" s="6" t="s">
        <v>84</v>
      </c>
      <c r="D33" s="6" t="s">
        <v>85</v>
      </c>
    </row>
    <row r="34" spans="1:4" x14ac:dyDescent="0.25">
      <c r="A34" s="3" t="s">
        <v>33</v>
      </c>
      <c r="B34" s="2" t="s">
        <v>86</v>
      </c>
      <c r="C34" s="2" t="s">
        <v>87</v>
      </c>
      <c r="D34" s="2" t="s">
        <v>88</v>
      </c>
    </row>
    <row r="35" spans="1:4" x14ac:dyDescent="0.25">
      <c r="A35" s="3" t="s">
        <v>37</v>
      </c>
      <c r="B35" s="2" t="s">
        <v>89</v>
      </c>
      <c r="C35" s="2" t="s">
        <v>90</v>
      </c>
      <c r="D35" s="2" t="s">
        <v>91</v>
      </c>
    </row>
    <row r="36" spans="1:4" x14ac:dyDescent="0.25">
      <c r="A36" s="3" t="s">
        <v>45</v>
      </c>
      <c r="B36" s="2" t="s">
        <v>92</v>
      </c>
      <c r="C36" s="2" t="s">
        <v>93</v>
      </c>
      <c r="D36" s="2" t="s">
        <v>94</v>
      </c>
    </row>
    <row r="37" spans="1:4" x14ac:dyDescent="0.25">
      <c r="A37" s="3" t="s">
        <v>41</v>
      </c>
      <c r="B37" s="2" t="s">
        <v>95</v>
      </c>
      <c r="C37" s="2" t="s">
        <v>96</v>
      </c>
      <c r="D37" s="2" t="s">
        <v>97</v>
      </c>
    </row>
    <row r="38" spans="1:4" x14ac:dyDescent="0.25">
      <c r="A38" s="3" t="s">
        <v>49</v>
      </c>
      <c r="B38" s="2" t="s">
        <v>98</v>
      </c>
      <c r="C38" s="2" t="s">
        <v>99</v>
      </c>
      <c r="D38" s="2" t="s">
        <v>100</v>
      </c>
    </row>
    <row r="39" spans="1:4" ht="28.5" x14ac:dyDescent="0.25">
      <c r="A39" s="6" t="s">
        <v>1</v>
      </c>
      <c r="B39" s="6" t="s">
        <v>101</v>
      </c>
      <c r="C39" s="6" t="s">
        <v>102</v>
      </c>
      <c r="D39" s="6" t="s">
        <v>103</v>
      </c>
    </row>
    <row r="40" spans="1:4" x14ac:dyDescent="0.25">
      <c r="A40" s="3" t="s">
        <v>104</v>
      </c>
      <c r="B40" s="2" t="s">
        <v>105</v>
      </c>
      <c r="C40" s="2" t="s">
        <v>106</v>
      </c>
      <c r="D40" s="2" t="s">
        <v>107</v>
      </c>
    </row>
    <row r="41" spans="1:4" x14ac:dyDescent="0.25">
      <c r="A41" s="3" t="s">
        <v>108</v>
      </c>
      <c r="B41" s="2" t="s">
        <v>109</v>
      </c>
      <c r="C41" s="2" t="s">
        <v>110</v>
      </c>
      <c r="D41" s="2" t="s">
        <v>111</v>
      </c>
    </row>
    <row r="42" spans="1:4" x14ac:dyDescent="0.25">
      <c r="A42" s="3" t="s">
        <v>112</v>
      </c>
      <c r="B42" s="2" t="s">
        <v>113</v>
      </c>
      <c r="C42" s="2" t="s">
        <v>114</v>
      </c>
      <c r="D42" s="2" t="s">
        <v>115</v>
      </c>
    </row>
    <row r="43" spans="1:4" ht="28.5" x14ac:dyDescent="0.25">
      <c r="A43" s="6" t="s">
        <v>1</v>
      </c>
      <c r="B43" s="6" t="s">
        <v>116</v>
      </c>
      <c r="C43" s="6" t="s">
        <v>117</v>
      </c>
      <c r="D43" s="6" t="s">
        <v>118</v>
      </c>
    </row>
    <row r="44" spans="1:4" x14ac:dyDescent="0.25">
      <c r="A44" s="3" t="s">
        <v>119</v>
      </c>
      <c r="B44" s="2" t="s">
        <v>120</v>
      </c>
      <c r="C44" s="2" t="s">
        <v>121</v>
      </c>
      <c r="D44" s="2" t="s">
        <v>122</v>
      </c>
    </row>
    <row r="45" spans="1:4" x14ac:dyDescent="0.25">
      <c r="A45" s="3" t="s">
        <v>123</v>
      </c>
      <c r="B45" s="2" t="s">
        <v>124</v>
      </c>
      <c r="C45" s="2" t="s">
        <v>125</v>
      </c>
      <c r="D45" s="2" t="s">
        <v>126</v>
      </c>
    </row>
    <row r="46" spans="1:4" x14ac:dyDescent="0.25">
      <c r="A46" s="3" t="s">
        <v>127</v>
      </c>
      <c r="B46" s="2" t="s">
        <v>128</v>
      </c>
      <c r="C46" s="2" t="s">
        <v>129</v>
      </c>
      <c r="D46" s="2" t="s">
        <v>130</v>
      </c>
    </row>
    <row r="47" spans="1:4" x14ac:dyDescent="0.25">
      <c r="A47" s="6" t="s">
        <v>1</v>
      </c>
      <c r="B47" s="6" t="s">
        <v>131</v>
      </c>
      <c r="C47" s="6" t="s">
        <v>132</v>
      </c>
      <c r="D47" s="6" t="s">
        <v>133</v>
      </c>
    </row>
    <row r="48" spans="1:4" x14ac:dyDescent="0.25">
      <c r="A48" s="3" t="s">
        <v>134</v>
      </c>
      <c r="B48" s="2" t="s">
        <v>135</v>
      </c>
      <c r="C48" s="2" t="s">
        <v>136</v>
      </c>
      <c r="D48" s="2" t="s">
        <v>137</v>
      </c>
    </row>
    <row r="49" spans="1:4" x14ac:dyDescent="0.25">
      <c r="A49" s="3" t="s">
        <v>138</v>
      </c>
      <c r="B49" s="2" t="s">
        <v>139</v>
      </c>
      <c r="C49" s="2" t="s">
        <v>140</v>
      </c>
      <c r="D49" s="2" t="s">
        <v>115</v>
      </c>
    </row>
    <row r="50" spans="1:4" x14ac:dyDescent="0.25">
      <c r="A50" s="6" t="s">
        <v>1</v>
      </c>
      <c r="B50" s="6" t="s">
        <v>141</v>
      </c>
      <c r="C50" s="6" t="s">
        <v>142</v>
      </c>
      <c r="D50" s="6" t="s">
        <v>143</v>
      </c>
    </row>
    <row r="51" spans="1:4" x14ac:dyDescent="0.25">
      <c r="A51" s="3" t="s">
        <v>144</v>
      </c>
      <c r="B51" s="2" t="s">
        <v>145</v>
      </c>
      <c r="C51" s="2" t="s">
        <v>146</v>
      </c>
      <c r="D51" s="2" t="s">
        <v>147</v>
      </c>
    </row>
    <row r="52" spans="1:4" x14ac:dyDescent="0.25">
      <c r="A52" s="3" t="s">
        <v>148</v>
      </c>
      <c r="B52" s="2" t="s">
        <v>149</v>
      </c>
      <c r="C52" s="2" t="s">
        <v>150</v>
      </c>
      <c r="D52" s="2" t="s">
        <v>151</v>
      </c>
    </row>
    <row r="53" spans="1:4" ht="28.5" x14ac:dyDescent="0.25">
      <c r="A53" s="3" t="s">
        <v>152</v>
      </c>
      <c r="B53" s="2" t="s">
        <v>153</v>
      </c>
      <c r="C53" s="2" t="s">
        <v>154</v>
      </c>
      <c r="D53" s="2" t="s">
        <v>155</v>
      </c>
    </row>
    <row r="54" spans="1:4" ht="28.5" x14ac:dyDescent="0.25">
      <c r="A54" s="6" t="s">
        <v>1</v>
      </c>
      <c r="B54" s="6" t="s">
        <v>156</v>
      </c>
      <c r="C54" s="6" t="s">
        <v>157</v>
      </c>
      <c r="D54" s="6" t="s">
        <v>158</v>
      </c>
    </row>
    <row r="55" spans="1:4" x14ac:dyDescent="0.25">
      <c r="A55" s="3" t="s">
        <v>159</v>
      </c>
      <c r="B55" s="2" t="s">
        <v>160</v>
      </c>
      <c r="C55" s="2" t="s">
        <v>161</v>
      </c>
      <c r="D55" s="2" t="s">
        <v>162</v>
      </c>
    </row>
    <row r="56" spans="1:4" x14ac:dyDescent="0.25">
      <c r="A56" s="3" t="s">
        <v>163</v>
      </c>
      <c r="B56" s="2" t="s">
        <v>164</v>
      </c>
      <c r="C56" s="2" t="s">
        <v>165</v>
      </c>
      <c r="D56" s="2" t="s">
        <v>166</v>
      </c>
    </row>
    <row r="57" spans="1:4" x14ac:dyDescent="0.25">
      <c r="A57" s="3" t="s">
        <v>167</v>
      </c>
      <c r="B57" s="2" t="s">
        <v>168</v>
      </c>
      <c r="C57" s="2" t="s">
        <v>169</v>
      </c>
      <c r="D57" s="2" t="s">
        <v>170</v>
      </c>
    </row>
    <row r="58" spans="1:4" x14ac:dyDescent="0.25">
      <c r="A58" s="3" t="s">
        <v>171</v>
      </c>
      <c r="B58" s="2" t="s">
        <v>172</v>
      </c>
      <c r="C58" s="2" t="s">
        <v>173</v>
      </c>
      <c r="D58" s="2" t="s">
        <v>174</v>
      </c>
    </row>
    <row r="59" spans="1:4" x14ac:dyDescent="0.25">
      <c r="A59" s="3" t="s">
        <v>175</v>
      </c>
      <c r="B59" s="2" t="s">
        <v>176</v>
      </c>
      <c r="C59" s="2" t="s">
        <v>177</v>
      </c>
      <c r="D59" s="2" t="s">
        <v>178</v>
      </c>
    </row>
    <row r="61" spans="1:4" x14ac:dyDescent="0.25">
      <c r="A61" s="1" t="s">
        <v>1</v>
      </c>
      <c r="B61" s="1" t="s">
        <v>179</v>
      </c>
      <c r="C61" s="1" t="s">
        <v>180</v>
      </c>
      <c r="D61" s="1" t="s">
        <v>181</v>
      </c>
    </row>
    <row r="62" spans="1:4" ht="409.6" customHeight="1" x14ac:dyDescent="0.25">
      <c r="B62" s="2" t="s">
        <v>182</v>
      </c>
      <c r="C62" s="2" t="s">
        <v>183</v>
      </c>
      <c r="D62" s="2" t="s">
        <v>184</v>
      </c>
    </row>
    <row r="64" spans="1:4" x14ac:dyDescent="0.25">
      <c r="A64" s="1" t="s">
        <v>1</v>
      </c>
      <c r="B64" s="1" t="s">
        <v>185</v>
      </c>
      <c r="C64" s="1" t="s">
        <v>186</v>
      </c>
      <c r="D64" s="1" t="s">
        <v>187</v>
      </c>
    </row>
    <row r="65" spans="2:4" ht="409.6" customHeight="1" x14ac:dyDescent="0.25">
      <c r="B65" s="2" t="s">
        <v>188</v>
      </c>
      <c r="C65" s="2" t="s">
        <v>189</v>
      </c>
      <c r="D65" s="2" t="s">
        <v>190</v>
      </c>
    </row>
  </sheetData>
  <sheetProtection sheet="1" objects="1" scenarios="1" formatColumns="0" formatRows="0"/>
  <pageMargins left="0.5" right="0.5"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6"/>
  <sheetViews>
    <sheetView zoomScale="130" zoomScaleNormal="130" workbookViewId="0">
      <pane xSplit="2" ySplit="1" topLeftCell="F17" activePane="bottomRight" state="frozen"/>
      <selection pane="topRight"/>
      <selection pane="bottomLeft"/>
      <selection pane="bottomRight" activeCell="K6" sqref="K6"/>
    </sheetView>
  </sheetViews>
  <sheetFormatPr defaultRowHeight="14.25" x14ac:dyDescent="0.25"/>
  <cols>
    <col min="1" max="1" width="14" customWidth="1"/>
    <col min="2" max="2" width="9" customWidth="1"/>
    <col min="3" max="3" width="8" customWidth="1"/>
    <col min="4" max="4" width="14.140625" customWidth="1"/>
    <col min="5" max="5" width="88.42578125" customWidth="1"/>
    <col min="6" max="6" width="63.28515625" customWidth="1"/>
    <col min="7" max="8" width="9" customWidth="1"/>
    <col min="9" max="9" width="20" customWidth="1"/>
    <col min="10" max="10" width="22" customWidth="1"/>
    <col min="11" max="11" width="14" customWidth="1"/>
    <col min="12" max="12" width="30" customWidth="1"/>
    <col min="13" max="13" width="24" customWidth="1"/>
  </cols>
  <sheetData>
    <row r="1" spans="1:13" ht="53.25" customHeight="1" x14ac:dyDescent="0.25">
      <c r="A1" s="1" t="s">
        <v>191</v>
      </c>
      <c r="B1" s="1" t="s">
        <v>192</v>
      </c>
      <c r="C1" s="1" t="s">
        <v>193</v>
      </c>
      <c r="D1" s="1" t="s">
        <v>194</v>
      </c>
      <c r="E1" s="1" t="s">
        <v>195</v>
      </c>
      <c r="F1" s="1" t="s">
        <v>196</v>
      </c>
      <c r="G1" s="1" t="s">
        <v>197</v>
      </c>
      <c r="H1" s="1" t="s">
        <v>198</v>
      </c>
      <c r="I1" s="1" t="s">
        <v>199</v>
      </c>
      <c r="J1" s="1" t="s">
        <v>200</v>
      </c>
      <c r="K1" s="1" t="s">
        <v>201</v>
      </c>
      <c r="L1" s="1" t="s">
        <v>202</v>
      </c>
      <c r="M1" s="1" t="s">
        <v>203</v>
      </c>
    </row>
    <row r="2" spans="1:13" ht="28.5" x14ac:dyDescent="0.25">
      <c r="A2" s="3" t="s">
        <v>204</v>
      </c>
      <c r="B2" s="3" t="s">
        <v>205</v>
      </c>
      <c r="C2" s="3">
        <v>1</v>
      </c>
      <c r="D2" s="3" t="s">
        <v>206</v>
      </c>
      <c r="E2" s="2" t="s">
        <v>207</v>
      </c>
      <c r="F2" s="2" t="s">
        <v>208</v>
      </c>
      <c r="G2" s="3">
        <v>11</v>
      </c>
      <c r="H2" s="3">
        <v>4</v>
      </c>
      <c r="I2" s="4" t="s">
        <v>548</v>
      </c>
      <c r="J2" s="4" t="s">
        <v>549</v>
      </c>
      <c r="K2" s="4" t="s">
        <v>550</v>
      </c>
      <c r="L2" s="3"/>
      <c r="M2" s="5"/>
    </row>
    <row r="3" spans="1:13" ht="167.25" customHeight="1" x14ac:dyDescent="0.25">
      <c r="A3" s="3" t="s">
        <v>209</v>
      </c>
      <c r="B3" s="3" t="s">
        <v>205</v>
      </c>
      <c r="C3" s="3">
        <v>2</v>
      </c>
      <c r="D3" s="3" t="s">
        <v>210</v>
      </c>
      <c r="E3" s="2" t="s">
        <v>207</v>
      </c>
      <c r="F3" s="2" t="s">
        <v>211</v>
      </c>
      <c r="G3" s="3">
        <v>51</v>
      </c>
      <c r="H3" s="3">
        <v>5</v>
      </c>
      <c r="I3" s="4" t="s">
        <v>547</v>
      </c>
      <c r="J3" s="4" t="s">
        <v>551</v>
      </c>
      <c r="K3" s="4" t="s">
        <v>550</v>
      </c>
      <c r="L3" s="3"/>
      <c r="M3" s="5"/>
    </row>
    <row r="4" spans="1:13" ht="171" x14ac:dyDescent="0.25">
      <c r="A4" s="3" t="s">
        <v>212</v>
      </c>
      <c r="B4" s="3" t="s">
        <v>205</v>
      </c>
      <c r="C4" s="3">
        <v>3</v>
      </c>
      <c r="D4" s="3" t="s">
        <v>213</v>
      </c>
      <c r="E4" s="2" t="s">
        <v>207</v>
      </c>
      <c r="F4" s="2" t="s">
        <v>214</v>
      </c>
      <c r="G4" s="3">
        <v>48</v>
      </c>
      <c r="H4" s="3">
        <v>7</v>
      </c>
      <c r="I4" s="4" t="s">
        <v>548</v>
      </c>
      <c r="J4" s="4" t="s">
        <v>549</v>
      </c>
      <c r="K4" s="4" t="s">
        <v>550</v>
      </c>
      <c r="L4" s="3"/>
      <c r="M4" s="5"/>
    </row>
    <row r="5" spans="1:13" ht="306.75" customHeight="1" x14ac:dyDescent="0.25">
      <c r="A5" s="3" t="s">
        <v>215</v>
      </c>
      <c r="B5" s="3" t="s">
        <v>205</v>
      </c>
      <c r="C5" s="3">
        <v>4</v>
      </c>
      <c r="D5" s="3" t="s">
        <v>216</v>
      </c>
      <c r="E5" s="2" t="s">
        <v>207</v>
      </c>
      <c r="F5" s="2" t="s">
        <v>217</v>
      </c>
      <c r="G5" s="3">
        <v>173</v>
      </c>
      <c r="H5" s="3">
        <v>22</v>
      </c>
      <c r="I5" s="4" t="s">
        <v>552</v>
      </c>
      <c r="J5" s="4" t="s">
        <v>553</v>
      </c>
      <c r="K5" s="4" t="s">
        <v>550</v>
      </c>
      <c r="L5" s="3"/>
      <c r="M5" s="5"/>
    </row>
    <row r="6" spans="1:13" ht="71.25" x14ac:dyDescent="0.25">
      <c r="A6" s="3" t="s">
        <v>218</v>
      </c>
      <c r="B6" s="3" t="s">
        <v>205</v>
      </c>
      <c r="C6" s="3">
        <v>5</v>
      </c>
      <c r="D6" s="3" t="s">
        <v>219</v>
      </c>
      <c r="E6" s="2" t="s">
        <v>207</v>
      </c>
      <c r="F6" s="2" t="s">
        <v>220</v>
      </c>
      <c r="G6" s="3">
        <v>15</v>
      </c>
      <c r="H6" s="3">
        <v>5</v>
      </c>
      <c r="I6" s="4" t="s">
        <v>548</v>
      </c>
      <c r="J6" s="4" t="s">
        <v>553</v>
      </c>
      <c r="K6" s="4" t="s">
        <v>550</v>
      </c>
      <c r="L6" s="3"/>
      <c r="M6" s="5"/>
    </row>
    <row r="7" spans="1:13" ht="42.75" x14ac:dyDescent="0.25">
      <c r="A7" s="3" t="s">
        <v>221</v>
      </c>
      <c r="B7" s="3" t="s">
        <v>222</v>
      </c>
      <c r="C7" s="3">
        <v>1</v>
      </c>
      <c r="D7" s="3" t="s">
        <v>206</v>
      </c>
      <c r="E7" s="2" t="s">
        <v>223</v>
      </c>
      <c r="F7" s="2" t="s">
        <v>224</v>
      </c>
      <c r="G7" s="3">
        <v>8</v>
      </c>
      <c r="H7" s="3">
        <v>2</v>
      </c>
      <c r="I7" s="4" t="s">
        <v>548</v>
      </c>
      <c r="J7" s="4" t="s">
        <v>553</v>
      </c>
      <c r="K7" s="4" t="s">
        <v>550</v>
      </c>
      <c r="L7" s="3"/>
      <c r="M7" s="5"/>
    </row>
    <row r="8" spans="1:13" ht="128.25" x14ac:dyDescent="0.25">
      <c r="A8" s="3" t="s">
        <v>225</v>
      </c>
      <c r="B8" s="3" t="s">
        <v>222</v>
      </c>
      <c r="C8" s="3">
        <v>2</v>
      </c>
      <c r="D8" s="3" t="s">
        <v>210</v>
      </c>
      <c r="E8" s="2" t="s">
        <v>223</v>
      </c>
      <c r="F8" s="2" t="s">
        <v>226</v>
      </c>
      <c r="G8" s="3">
        <v>51</v>
      </c>
      <c r="H8" s="3">
        <v>3</v>
      </c>
      <c r="I8" s="4" t="s">
        <v>548</v>
      </c>
      <c r="J8" s="4" t="s">
        <v>551</v>
      </c>
      <c r="K8" s="4" t="s">
        <v>550</v>
      </c>
      <c r="L8" s="3"/>
      <c r="M8" s="5"/>
    </row>
    <row r="9" spans="1:13" ht="71.25" x14ac:dyDescent="0.25">
      <c r="A9" s="3" t="s">
        <v>227</v>
      </c>
      <c r="B9" s="3" t="s">
        <v>222</v>
      </c>
      <c r="C9" s="3">
        <v>3</v>
      </c>
      <c r="D9" s="3" t="s">
        <v>213</v>
      </c>
      <c r="E9" s="2" t="s">
        <v>223</v>
      </c>
      <c r="F9" s="2" t="s">
        <v>228</v>
      </c>
      <c r="G9" s="3">
        <v>34</v>
      </c>
      <c r="H9" s="3">
        <v>3</v>
      </c>
      <c r="I9" s="4" t="s">
        <v>547</v>
      </c>
      <c r="J9" s="4" t="s">
        <v>551</v>
      </c>
      <c r="K9" s="4" t="s">
        <v>550</v>
      </c>
      <c r="L9" s="3"/>
      <c r="M9" s="5"/>
    </row>
    <row r="10" spans="1:13" ht="42.75" x14ac:dyDescent="0.25">
      <c r="A10" s="3" t="s">
        <v>229</v>
      </c>
      <c r="B10" s="3" t="s">
        <v>222</v>
      </c>
      <c r="C10" s="3">
        <v>4</v>
      </c>
      <c r="D10" s="3" t="s">
        <v>216</v>
      </c>
      <c r="E10" s="2" t="s">
        <v>223</v>
      </c>
      <c r="F10" s="2" t="s">
        <v>230</v>
      </c>
      <c r="G10" s="3">
        <v>11</v>
      </c>
      <c r="H10" s="3">
        <v>3</v>
      </c>
      <c r="I10" s="4" t="s">
        <v>548</v>
      </c>
      <c r="J10" s="4" t="s">
        <v>551</v>
      </c>
      <c r="K10" s="4" t="s">
        <v>550</v>
      </c>
      <c r="L10" s="3"/>
      <c r="M10" s="5"/>
    </row>
    <row r="11" spans="1:13" ht="42.75" x14ac:dyDescent="0.25">
      <c r="A11" s="3" t="s">
        <v>231</v>
      </c>
      <c r="B11" s="3" t="s">
        <v>222</v>
      </c>
      <c r="C11" s="3">
        <v>5</v>
      </c>
      <c r="D11" s="3" t="s">
        <v>219</v>
      </c>
      <c r="E11" s="2" t="s">
        <v>223</v>
      </c>
      <c r="F11" s="2" t="s">
        <v>232</v>
      </c>
      <c r="G11" s="3">
        <v>13</v>
      </c>
      <c r="H11" s="3">
        <v>2</v>
      </c>
      <c r="I11" s="4" t="s">
        <v>548</v>
      </c>
      <c r="J11" s="4" t="s">
        <v>551</v>
      </c>
      <c r="K11" s="4" t="s">
        <v>550</v>
      </c>
      <c r="L11" s="3"/>
      <c r="M11" s="5"/>
    </row>
    <row r="12" spans="1:13" ht="28.5" x14ac:dyDescent="0.25">
      <c r="A12" s="3" t="s">
        <v>233</v>
      </c>
      <c r="B12" s="3" t="s">
        <v>234</v>
      </c>
      <c r="C12" s="3">
        <v>1</v>
      </c>
      <c r="D12" s="3" t="s">
        <v>206</v>
      </c>
      <c r="E12" s="2" t="s">
        <v>235</v>
      </c>
      <c r="F12" s="2" t="s">
        <v>236</v>
      </c>
      <c r="G12" s="3">
        <v>6</v>
      </c>
      <c r="H12" s="3">
        <v>2</v>
      </c>
      <c r="I12" s="4" t="s">
        <v>548</v>
      </c>
      <c r="J12" s="4" t="s">
        <v>551</v>
      </c>
      <c r="K12" s="4" t="s">
        <v>550</v>
      </c>
      <c r="L12" s="3"/>
      <c r="M12" s="5"/>
    </row>
    <row r="13" spans="1:13" ht="42.75" x14ac:dyDescent="0.25">
      <c r="A13" s="3" t="s">
        <v>237</v>
      </c>
      <c r="B13" s="3" t="s">
        <v>234</v>
      </c>
      <c r="C13" s="3">
        <v>2</v>
      </c>
      <c r="D13" s="3" t="s">
        <v>210</v>
      </c>
      <c r="E13" s="2" t="s">
        <v>235</v>
      </c>
      <c r="F13" s="2" t="s">
        <v>238</v>
      </c>
      <c r="G13" s="3">
        <v>18</v>
      </c>
      <c r="H13" s="3">
        <v>2</v>
      </c>
      <c r="I13" s="4" t="s">
        <v>548</v>
      </c>
      <c r="J13" s="4" t="s">
        <v>551</v>
      </c>
      <c r="K13" s="4" t="s">
        <v>550</v>
      </c>
      <c r="L13" s="3"/>
      <c r="M13" s="5"/>
    </row>
    <row r="14" spans="1:13" ht="28.5" x14ac:dyDescent="0.25">
      <c r="A14" s="3" t="s">
        <v>239</v>
      </c>
      <c r="B14" s="3" t="s">
        <v>234</v>
      </c>
      <c r="C14" s="3">
        <v>3</v>
      </c>
      <c r="D14" s="3" t="s">
        <v>213</v>
      </c>
      <c r="E14" s="2" t="s">
        <v>235</v>
      </c>
      <c r="F14" s="2" t="s">
        <v>240</v>
      </c>
      <c r="G14" s="3">
        <v>13</v>
      </c>
      <c r="H14" s="3">
        <v>2</v>
      </c>
      <c r="I14" s="4" t="s">
        <v>547</v>
      </c>
      <c r="J14" s="4" t="s">
        <v>551</v>
      </c>
      <c r="K14" s="4" t="s">
        <v>550</v>
      </c>
      <c r="L14" s="3"/>
      <c r="M14" s="5"/>
    </row>
    <row r="15" spans="1:13" x14ac:dyDescent="0.25">
      <c r="A15" s="3" t="s">
        <v>241</v>
      </c>
      <c r="B15" s="3" t="s">
        <v>234</v>
      </c>
      <c r="C15" s="3">
        <v>4</v>
      </c>
      <c r="D15" s="3" t="s">
        <v>216</v>
      </c>
      <c r="E15" s="2" t="s">
        <v>235</v>
      </c>
      <c r="F15" s="2" t="s">
        <v>242</v>
      </c>
      <c r="G15" s="3">
        <v>6</v>
      </c>
      <c r="H15" s="3">
        <v>2</v>
      </c>
      <c r="I15" s="4" t="s">
        <v>548</v>
      </c>
      <c r="J15" s="4" t="s">
        <v>551</v>
      </c>
      <c r="K15" s="4" t="s">
        <v>550</v>
      </c>
      <c r="L15" s="3"/>
      <c r="M15" s="5"/>
    </row>
    <row r="16" spans="1:13" ht="28.5" x14ac:dyDescent="0.25">
      <c r="A16" s="3" t="s">
        <v>243</v>
      </c>
      <c r="B16" s="3" t="s">
        <v>234</v>
      </c>
      <c r="C16" s="3">
        <v>5</v>
      </c>
      <c r="D16" s="3" t="s">
        <v>219</v>
      </c>
      <c r="E16" s="2" t="s">
        <v>235</v>
      </c>
      <c r="F16" s="2" t="s">
        <v>244</v>
      </c>
      <c r="G16" s="3">
        <v>9</v>
      </c>
      <c r="H16" s="3">
        <v>3</v>
      </c>
      <c r="I16" s="4" t="s">
        <v>548</v>
      </c>
      <c r="J16" s="4" t="s">
        <v>551</v>
      </c>
      <c r="K16" s="4" t="s">
        <v>550</v>
      </c>
      <c r="L16" s="3"/>
      <c r="M16" s="5"/>
    </row>
    <row r="17" spans="1:13" ht="153.75" customHeight="1" x14ac:dyDescent="0.25">
      <c r="A17" s="3" t="s">
        <v>245</v>
      </c>
      <c r="B17" s="3" t="s">
        <v>246</v>
      </c>
      <c r="C17" s="3">
        <v>1</v>
      </c>
      <c r="D17" s="3" t="s">
        <v>206</v>
      </c>
      <c r="E17" s="2" t="s">
        <v>247</v>
      </c>
      <c r="F17" s="2" t="s">
        <v>248</v>
      </c>
      <c r="G17" s="3">
        <v>72</v>
      </c>
      <c r="H17" s="3">
        <v>13</v>
      </c>
      <c r="I17" s="4" t="s">
        <v>548</v>
      </c>
      <c r="J17" s="4" t="s">
        <v>551</v>
      </c>
      <c r="K17" s="4" t="s">
        <v>550</v>
      </c>
      <c r="L17" s="3"/>
      <c r="M17" s="5"/>
    </row>
    <row r="18" spans="1:13" ht="229.5" customHeight="1" x14ac:dyDescent="0.25">
      <c r="A18" s="3" t="s">
        <v>249</v>
      </c>
      <c r="B18" s="3" t="s">
        <v>246</v>
      </c>
      <c r="C18" s="3">
        <v>2</v>
      </c>
      <c r="D18" s="3" t="s">
        <v>210</v>
      </c>
      <c r="E18" s="2" t="s">
        <v>247</v>
      </c>
      <c r="F18" s="2" t="s">
        <v>250</v>
      </c>
      <c r="G18" s="3">
        <v>77</v>
      </c>
      <c r="H18" s="3">
        <v>14</v>
      </c>
      <c r="I18" s="4" t="s">
        <v>547</v>
      </c>
      <c r="J18" s="4" t="s">
        <v>551</v>
      </c>
      <c r="K18" s="4" t="s">
        <v>550</v>
      </c>
      <c r="L18" s="3"/>
      <c r="M18" s="5"/>
    </row>
    <row r="19" spans="1:13" ht="185.25" x14ac:dyDescent="0.25">
      <c r="A19" s="3" t="s">
        <v>251</v>
      </c>
      <c r="B19" s="3" t="s">
        <v>246</v>
      </c>
      <c r="C19" s="3">
        <v>3</v>
      </c>
      <c r="D19" s="3" t="s">
        <v>213</v>
      </c>
      <c r="E19" s="2" t="s">
        <v>247</v>
      </c>
      <c r="F19" s="2" t="s">
        <v>252</v>
      </c>
      <c r="G19" s="3">
        <v>63</v>
      </c>
      <c r="H19" s="3">
        <v>12</v>
      </c>
      <c r="I19" s="4" t="s">
        <v>548</v>
      </c>
      <c r="J19" s="4" t="s">
        <v>551</v>
      </c>
      <c r="K19" s="4" t="s">
        <v>550</v>
      </c>
      <c r="L19" s="3"/>
      <c r="M19" s="5"/>
    </row>
    <row r="20" spans="1:13" ht="141.75" customHeight="1" x14ac:dyDescent="0.25">
      <c r="A20" s="3" t="s">
        <v>253</v>
      </c>
      <c r="B20" s="3" t="s">
        <v>246</v>
      </c>
      <c r="C20" s="3">
        <v>4</v>
      </c>
      <c r="D20" s="3" t="s">
        <v>216</v>
      </c>
      <c r="E20" s="2" t="s">
        <v>247</v>
      </c>
      <c r="F20" s="2" t="s">
        <v>254</v>
      </c>
      <c r="G20" s="3">
        <v>64</v>
      </c>
      <c r="H20" s="3">
        <v>12</v>
      </c>
      <c r="I20" s="4" t="s">
        <v>548</v>
      </c>
      <c r="J20" s="4" t="s">
        <v>551</v>
      </c>
      <c r="K20" s="4" t="s">
        <v>550</v>
      </c>
      <c r="L20" s="3"/>
      <c r="M20" s="5"/>
    </row>
    <row r="21" spans="1:13" ht="144.75" customHeight="1" x14ac:dyDescent="0.25">
      <c r="A21" s="3" t="s">
        <v>255</v>
      </c>
      <c r="B21" s="3" t="s">
        <v>246</v>
      </c>
      <c r="C21" s="3">
        <v>5</v>
      </c>
      <c r="D21" s="3" t="s">
        <v>219</v>
      </c>
      <c r="E21" s="2" t="s">
        <v>247</v>
      </c>
      <c r="F21" s="2" t="s">
        <v>256</v>
      </c>
      <c r="G21" s="3">
        <v>65</v>
      </c>
      <c r="H21" s="3">
        <v>12</v>
      </c>
      <c r="I21" s="4" t="s">
        <v>548</v>
      </c>
      <c r="J21" s="4" t="s">
        <v>551</v>
      </c>
      <c r="K21" s="4" t="s">
        <v>550</v>
      </c>
      <c r="L21" s="3"/>
      <c r="M21" s="5"/>
    </row>
    <row r="22" spans="1:13" ht="194.25" customHeight="1" x14ac:dyDescent="0.25">
      <c r="A22" s="3" t="s">
        <v>257</v>
      </c>
      <c r="B22" s="3" t="s">
        <v>258</v>
      </c>
      <c r="C22" s="3">
        <v>1</v>
      </c>
      <c r="D22" s="3" t="s">
        <v>206</v>
      </c>
      <c r="E22" s="2" t="s">
        <v>259</v>
      </c>
      <c r="F22" s="2" t="s">
        <v>260</v>
      </c>
      <c r="G22" s="3">
        <v>64</v>
      </c>
      <c r="H22" s="3">
        <v>13</v>
      </c>
      <c r="I22" s="4" t="s">
        <v>548</v>
      </c>
      <c r="J22" s="4" t="s">
        <v>551</v>
      </c>
      <c r="K22" s="4" t="s">
        <v>550</v>
      </c>
      <c r="L22" s="3"/>
      <c r="M22" s="5"/>
    </row>
    <row r="23" spans="1:13" ht="208.5" customHeight="1" x14ac:dyDescent="0.25">
      <c r="A23" s="3" t="s">
        <v>261</v>
      </c>
      <c r="B23" s="3" t="s">
        <v>258</v>
      </c>
      <c r="C23" s="3">
        <v>2</v>
      </c>
      <c r="D23" s="3" t="s">
        <v>210</v>
      </c>
      <c r="E23" s="2" t="s">
        <v>259</v>
      </c>
      <c r="F23" s="2" t="s">
        <v>262</v>
      </c>
      <c r="G23" s="3">
        <v>75</v>
      </c>
      <c r="H23" s="3">
        <v>14</v>
      </c>
      <c r="I23" s="4" t="s">
        <v>548</v>
      </c>
      <c r="J23" s="4" t="s">
        <v>551</v>
      </c>
      <c r="K23" s="4" t="s">
        <v>550</v>
      </c>
      <c r="L23" s="3"/>
      <c r="M23" s="5"/>
    </row>
    <row r="24" spans="1:13" ht="143.25" customHeight="1" x14ac:dyDescent="0.25">
      <c r="A24" s="3" t="s">
        <v>263</v>
      </c>
      <c r="B24" s="3" t="s">
        <v>258</v>
      </c>
      <c r="C24" s="3">
        <v>3</v>
      </c>
      <c r="D24" s="3" t="s">
        <v>213</v>
      </c>
      <c r="E24" s="2" t="s">
        <v>259</v>
      </c>
      <c r="F24" s="2" t="s">
        <v>264</v>
      </c>
      <c r="G24" s="3">
        <v>59</v>
      </c>
      <c r="H24" s="3">
        <v>12</v>
      </c>
      <c r="I24" s="4" t="s">
        <v>548</v>
      </c>
      <c r="J24" s="4" t="s">
        <v>551</v>
      </c>
      <c r="K24" s="4" t="s">
        <v>550</v>
      </c>
      <c r="L24" s="3"/>
      <c r="M24" s="5"/>
    </row>
    <row r="25" spans="1:13" ht="126" customHeight="1" x14ac:dyDescent="0.25">
      <c r="A25" s="3" t="s">
        <v>265</v>
      </c>
      <c r="B25" s="3" t="s">
        <v>258</v>
      </c>
      <c r="C25" s="3">
        <v>4</v>
      </c>
      <c r="D25" s="3" t="s">
        <v>216</v>
      </c>
      <c r="E25" s="2" t="s">
        <v>259</v>
      </c>
      <c r="F25" s="2" t="s">
        <v>266</v>
      </c>
      <c r="G25" s="3">
        <v>52</v>
      </c>
      <c r="H25" s="3">
        <v>11</v>
      </c>
      <c r="I25" s="4" t="s">
        <v>548</v>
      </c>
      <c r="J25" s="4" t="s">
        <v>551</v>
      </c>
      <c r="K25" s="4" t="s">
        <v>550</v>
      </c>
      <c r="L25" s="3"/>
      <c r="M25" s="5"/>
    </row>
    <row r="26" spans="1:13" ht="182.25" customHeight="1" x14ac:dyDescent="0.25">
      <c r="A26" s="3" t="s">
        <v>267</v>
      </c>
      <c r="B26" s="3" t="s">
        <v>258</v>
      </c>
      <c r="C26" s="3">
        <v>5</v>
      </c>
      <c r="D26" s="3" t="s">
        <v>219</v>
      </c>
      <c r="E26" s="2" t="s">
        <v>259</v>
      </c>
      <c r="F26" s="2" t="s">
        <v>268</v>
      </c>
      <c r="G26" s="3">
        <v>55</v>
      </c>
      <c r="H26" s="3">
        <v>12</v>
      </c>
      <c r="I26" s="4" t="s">
        <v>548</v>
      </c>
      <c r="J26" s="4" t="s">
        <v>551</v>
      </c>
      <c r="K26" s="4" t="s">
        <v>550</v>
      </c>
      <c r="L26" s="3"/>
      <c r="M26" s="5"/>
    </row>
    <row r="27" spans="1:13" ht="99.75" x14ac:dyDescent="0.25">
      <c r="A27" s="3" t="s">
        <v>269</v>
      </c>
      <c r="B27" s="3" t="s">
        <v>270</v>
      </c>
      <c r="C27" s="3">
        <v>1</v>
      </c>
      <c r="D27" s="3" t="s">
        <v>206</v>
      </c>
      <c r="E27" s="2" t="s">
        <v>271</v>
      </c>
      <c r="F27" s="2" t="s">
        <v>272</v>
      </c>
      <c r="G27" s="3">
        <v>29</v>
      </c>
      <c r="H27" s="3">
        <v>2</v>
      </c>
      <c r="I27" s="4" t="s">
        <v>548</v>
      </c>
      <c r="J27" s="4" t="s">
        <v>549</v>
      </c>
      <c r="K27" s="4" t="s">
        <v>550</v>
      </c>
      <c r="L27" s="3"/>
      <c r="M27" s="5"/>
    </row>
    <row r="28" spans="1:13" ht="114" x14ac:dyDescent="0.25">
      <c r="A28" s="3" t="s">
        <v>273</v>
      </c>
      <c r="B28" s="3" t="s">
        <v>270</v>
      </c>
      <c r="C28" s="3">
        <v>2</v>
      </c>
      <c r="D28" s="3" t="s">
        <v>210</v>
      </c>
      <c r="E28" s="2" t="s">
        <v>271</v>
      </c>
      <c r="F28" s="2" t="s">
        <v>274</v>
      </c>
      <c r="G28" s="3">
        <v>42</v>
      </c>
      <c r="H28" s="3">
        <v>3</v>
      </c>
      <c r="I28" s="4" t="s">
        <v>547</v>
      </c>
      <c r="J28" s="4" t="s">
        <v>551</v>
      </c>
      <c r="K28" s="4" t="s">
        <v>550</v>
      </c>
      <c r="L28" s="3"/>
      <c r="M28" s="5"/>
    </row>
    <row r="29" spans="1:13" ht="57" x14ac:dyDescent="0.25">
      <c r="A29" s="3" t="s">
        <v>275</v>
      </c>
      <c r="B29" s="3" t="s">
        <v>270</v>
      </c>
      <c r="C29" s="3">
        <v>3</v>
      </c>
      <c r="D29" s="3" t="s">
        <v>213</v>
      </c>
      <c r="E29" s="2" t="s">
        <v>271</v>
      </c>
      <c r="F29" s="2" t="s">
        <v>276</v>
      </c>
      <c r="G29" s="3">
        <v>28</v>
      </c>
      <c r="H29" s="3">
        <v>2</v>
      </c>
      <c r="I29" s="4" t="s">
        <v>548</v>
      </c>
      <c r="J29" s="4" t="s">
        <v>551</v>
      </c>
      <c r="K29" s="4" t="s">
        <v>550</v>
      </c>
      <c r="L29" s="3"/>
      <c r="M29" s="5"/>
    </row>
    <row r="30" spans="1:13" ht="85.5" x14ac:dyDescent="0.25">
      <c r="A30" s="3" t="s">
        <v>277</v>
      </c>
      <c r="B30" s="3" t="s">
        <v>270</v>
      </c>
      <c r="C30" s="3">
        <v>4</v>
      </c>
      <c r="D30" s="3" t="s">
        <v>216</v>
      </c>
      <c r="E30" s="2" t="s">
        <v>271</v>
      </c>
      <c r="F30" s="2" t="s">
        <v>278</v>
      </c>
      <c r="G30" s="3">
        <v>47</v>
      </c>
      <c r="H30" s="3">
        <v>2</v>
      </c>
      <c r="I30" s="4" t="s">
        <v>548</v>
      </c>
      <c r="J30" s="4" t="s">
        <v>551</v>
      </c>
      <c r="K30" s="4" t="s">
        <v>550</v>
      </c>
      <c r="L30" s="3"/>
      <c r="M30" s="5"/>
    </row>
    <row r="31" spans="1:13" ht="57" x14ac:dyDescent="0.25">
      <c r="A31" s="3" t="s">
        <v>279</v>
      </c>
      <c r="B31" s="3" t="s">
        <v>270</v>
      </c>
      <c r="C31" s="3">
        <v>5</v>
      </c>
      <c r="D31" s="3" t="s">
        <v>219</v>
      </c>
      <c r="E31" s="2" t="s">
        <v>271</v>
      </c>
      <c r="F31" s="2" t="s">
        <v>280</v>
      </c>
      <c r="G31" s="3">
        <v>26</v>
      </c>
      <c r="H31" s="3">
        <v>2</v>
      </c>
      <c r="I31" s="4" t="s">
        <v>548</v>
      </c>
      <c r="J31" s="4" t="s">
        <v>551</v>
      </c>
      <c r="K31" s="4" t="s">
        <v>550</v>
      </c>
      <c r="L31" s="3"/>
      <c r="M31" s="5"/>
    </row>
    <row r="32" spans="1:13" ht="142.5" x14ac:dyDescent="0.25">
      <c r="A32" s="3" t="s">
        <v>281</v>
      </c>
      <c r="B32" s="3" t="s">
        <v>282</v>
      </c>
      <c r="C32" s="3">
        <v>1</v>
      </c>
      <c r="D32" s="3" t="s">
        <v>206</v>
      </c>
      <c r="E32" s="2" t="s">
        <v>283</v>
      </c>
      <c r="F32" s="2" t="s">
        <v>284</v>
      </c>
      <c r="G32" s="3">
        <v>27</v>
      </c>
      <c r="H32" s="3">
        <v>4</v>
      </c>
      <c r="I32" s="4" t="s">
        <v>548</v>
      </c>
      <c r="J32" s="4" t="s">
        <v>549</v>
      </c>
      <c r="K32" s="4" t="s">
        <v>550</v>
      </c>
      <c r="L32" s="4" t="s">
        <v>555</v>
      </c>
      <c r="M32" s="5"/>
    </row>
    <row r="33" spans="1:13" ht="213.75" x14ac:dyDescent="0.25">
      <c r="A33" s="3" t="s">
        <v>285</v>
      </c>
      <c r="B33" s="3" t="s">
        <v>282</v>
      </c>
      <c r="C33" s="3">
        <v>2</v>
      </c>
      <c r="D33" s="3" t="s">
        <v>210</v>
      </c>
      <c r="E33" s="2" t="s">
        <v>283</v>
      </c>
      <c r="F33" s="2" t="s">
        <v>286</v>
      </c>
      <c r="G33" s="3">
        <v>68</v>
      </c>
      <c r="H33" s="3">
        <v>7</v>
      </c>
      <c r="I33" s="4" t="s">
        <v>547</v>
      </c>
      <c r="J33" s="4" t="s">
        <v>551</v>
      </c>
      <c r="K33" s="4" t="s">
        <v>550</v>
      </c>
      <c r="L33" s="4" t="s">
        <v>556</v>
      </c>
      <c r="M33" s="5"/>
    </row>
    <row r="34" spans="1:13" ht="105" customHeight="1" x14ac:dyDescent="0.25">
      <c r="A34" s="3" t="s">
        <v>287</v>
      </c>
      <c r="B34" s="3" t="s">
        <v>282</v>
      </c>
      <c r="C34" s="3">
        <v>3</v>
      </c>
      <c r="D34" s="3" t="s">
        <v>213</v>
      </c>
      <c r="E34" s="2" t="s">
        <v>283</v>
      </c>
      <c r="F34" s="2" t="s">
        <v>288</v>
      </c>
      <c r="G34" s="3">
        <v>60</v>
      </c>
      <c r="H34" s="3">
        <v>4</v>
      </c>
      <c r="I34" s="4" t="s">
        <v>548</v>
      </c>
      <c r="J34" s="4" t="s">
        <v>551</v>
      </c>
      <c r="K34" s="4" t="s">
        <v>550</v>
      </c>
      <c r="L34" s="4" t="s">
        <v>556</v>
      </c>
      <c r="M34" s="5"/>
    </row>
    <row r="35" spans="1:13" ht="299.25" x14ac:dyDescent="0.25">
      <c r="A35" s="3" t="s">
        <v>289</v>
      </c>
      <c r="B35" s="3" t="s">
        <v>282</v>
      </c>
      <c r="C35" s="3">
        <v>4</v>
      </c>
      <c r="D35" s="3" t="s">
        <v>216</v>
      </c>
      <c r="E35" s="2" t="s">
        <v>283</v>
      </c>
      <c r="F35" s="2" t="s">
        <v>290</v>
      </c>
      <c r="G35" s="3">
        <v>68</v>
      </c>
      <c r="H35" s="3">
        <v>13</v>
      </c>
      <c r="I35" s="4" t="s">
        <v>548</v>
      </c>
      <c r="J35" s="4" t="s">
        <v>549</v>
      </c>
      <c r="K35" s="4" t="s">
        <v>550</v>
      </c>
      <c r="L35" s="4" t="s">
        <v>554</v>
      </c>
      <c r="M35" s="5"/>
    </row>
    <row r="36" spans="1:13" ht="128.25" x14ac:dyDescent="0.25">
      <c r="A36" s="3" t="s">
        <v>291</v>
      </c>
      <c r="B36" s="3" t="s">
        <v>282</v>
      </c>
      <c r="C36" s="3">
        <v>5</v>
      </c>
      <c r="D36" s="3" t="s">
        <v>219</v>
      </c>
      <c r="E36" s="2" t="s">
        <v>283</v>
      </c>
      <c r="F36" s="2" t="s">
        <v>292</v>
      </c>
      <c r="G36" s="3">
        <v>36</v>
      </c>
      <c r="H36" s="3">
        <v>4</v>
      </c>
      <c r="I36" s="4" t="s">
        <v>548</v>
      </c>
      <c r="J36" s="4" t="s">
        <v>551</v>
      </c>
      <c r="K36" s="4" t="s">
        <v>550</v>
      </c>
      <c r="L36" s="4" t="s">
        <v>556</v>
      </c>
      <c r="M36" s="5"/>
    </row>
  </sheetData>
  <sheetProtection sheet="1" objects="1" scenarios="1" formatColumns="0" formatRows="0"/>
  <dataValidations count="4">
    <dataValidation type="list" allowBlank="1" showErrorMessage="1" sqref="I2:I36" xr:uid="{00000000-0002-0000-0100-000000000000}">
      <formula1>"tam / полное,kısmen / частичное,uyum yok / нет"</formula1>
    </dataValidation>
    <dataValidation type="list" allowBlank="1" showErrorMessage="1" sqref="J2:J36" xr:uid="{00000000-0002-0000-0100-000001000000}">
      <formula1>"karşıladı / отвечает,kısmen karşıladı / частично,alakasız / не по теме"</formula1>
    </dataValidation>
    <dataValidation type="list" allowBlank="1" showErrorMessage="1" sqref="K2:K36" xr:uid="{00000000-0002-0000-0100-000002000000}">
      <formula1>"evet / да,hayır / нет"</formula1>
    </dataValidation>
    <dataValidation type="list" allowBlank="1" showErrorMessage="1" sqref="L32:L36" xr:uid="{00000000-0002-0000-0100-000003000000}">
      <formula1>"iki metni de işlemiştir / обработал оба текста,metinleri hizalamamıştır / не сопоставил тексты,olmayan bir fark uydurmuştur (halüsinasyon) / придумал несуществующее различие (галлюцинация)"</formula1>
    </dataValidation>
  </dataValidations>
  <pageMargins left="0.5" right="0.5"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36"/>
  <sheetViews>
    <sheetView tabSelected="1" zoomScale="130" zoomScaleNormal="130" workbookViewId="0">
      <pane xSplit="6" ySplit="1" topLeftCell="G14" activePane="bottomRight" state="frozen"/>
      <selection pane="topRight"/>
      <selection pane="bottomLeft"/>
      <selection pane="bottomRight" activeCell="H28" sqref="H28"/>
    </sheetView>
  </sheetViews>
  <sheetFormatPr defaultRowHeight="14.25" x14ac:dyDescent="0.25"/>
  <cols>
    <col min="1" max="1" width="14" customWidth="1"/>
    <col min="2" max="2" width="9" customWidth="1"/>
    <col min="3" max="3" width="8" customWidth="1"/>
    <col min="4" max="4" width="9" customWidth="1"/>
    <col min="5" max="5" width="50" customWidth="1"/>
    <col min="6" max="6" width="9" customWidth="1"/>
    <col min="7" max="7" width="20" customWidth="1"/>
    <col min="8" max="11" width="9" customWidth="1"/>
    <col min="12" max="13" width="11" customWidth="1"/>
    <col min="14" max="17" width="7" customWidth="1"/>
    <col min="18" max="18" width="9" customWidth="1"/>
    <col min="19" max="19" width="14" customWidth="1"/>
    <col min="20" max="20" width="20" customWidth="1"/>
  </cols>
  <sheetData>
    <row r="1" spans="1:20" ht="135" customHeight="1" x14ac:dyDescent="0.25">
      <c r="A1" s="1" t="s">
        <v>191</v>
      </c>
      <c r="B1" s="1" t="s">
        <v>192</v>
      </c>
      <c r="C1" s="1" t="s">
        <v>193</v>
      </c>
      <c r="D1" s="1" t="s">
        <v>293</v>
      </c>
      <c r="E1" s="1" t="s">
        <v>294</v>
      </c>
      <c r="F1" s="1" t="s">
        <v>197</v>
      </c>
      <c r="G1" s="1" t="s">
        <v>295</v>
      </c>
      <c r="H1" s="1" t="s">
        <v>296</v>
      </c>
      <c r="I1" s="1" t="s">
        <v>297</v>
      </c>
      <c r="J1" s="1" t="s">
        <v>298</v>
      </c>
      <c r="K1" s="1" t="s">
        <v>299</v>
      </c>
      <c r="L1" s="1" t="s">
        <v>300</v>
      </c>
      <c r="M1" s="1" t="s">
        <v>301</v>
      </c>
      <c r="N1" s="1" t="s">
        <v>302</v>
      </c>
      <c r="O1" s="1" t="s">
        <v>303</v>
      </c>
      <c r="P1" s="1" t="s">
        <v>304</v>
      </c>
      <c r="Q1" s="1" t="s">
        <v>305</v>
      </c>
      <c r="R1" s="1" t="s">
        <v>306</v>
      </c>
      <c r="S1" s="1" t="s">
        <v>307</v>
      </c>
      <c r="T1" s="1" t="s">
        <v>203</v>
      </c>
    </row>
    <row r="2" spans="1:20" x14ac:dyDescent="0.25">
      <c r="A2" s="3" t="s">
        <v>204</v>
      </c>
      <c r="B2" s="3" t="s">
        <v>205</v>
      </c>
      <c r="C2" s="3">
        <v>1</v>
      </c>
      <c r="D2" s="3">
        <v>1</v>
      </c>
      <c r="E2" s="2" t="s">
        <v>308</v>
      </c>
      <c r="F2" s="3">
        <v>2</v>
      </c>
      <c r="G2" s="4" t="s">
        <v>557</v>
      </c>
      <c r="H2" s="4"/>
      <c r="I2" s="4"/>
      <c r="J2" s="4"/>
      <c r="K2" s="4"/>
      <c r="L2" s="3">
        <f t="shared" ref="L2:L65" si="0">F2-(H2+I2+J2+K2)</f>
        <v>2</v>
      </c>
      <c r="M2" s="4"/>
      <c r="N2" s="4"/>
      <c r="O2" s="4"/>
      <c r="P2" s="4"/>
      <c r="Q2" s="4"/>
      <c r="R2" s="4"/>
      <c r="S2" s="3">
        <f t="shared" ref="S2:S65" si="1">N2+O2+P2+Q2+R2</f>
        <v>0</v>
      </c>
      <c r="T2" s="5"/>
    </row>
    <row r="3" spans="1:20" ht="28.5" x14ac:dyDescent="0.25">
      <c r="A3" s="3" t="s">
        <v>204</v>
      </c>
      <c r="B3" s="3" t="s">
        <v>205</v>
      </c>
      <c r="C3" s="3">
        <v>1</v>
      </c>
      <c r="D3" s="3">
        <v>2</v>
      </c>
      <c r="E3" s="2" t="s">
        <v>309</v>
      </c>
      <c r="F3" s="3">
        <v>2</v>
      </c>
      <c r="G3" s="4" t="s">
        <v>558</v>
      </c>
      <c r="H3" s="4"/>
      <c r="I3" s="4"/>
      <c r="J3" s="4"/>
      <c r="K3" s="4">
        <v>1</v>
      </c>
      <c r="L3" s="3">
        <f t="shared" si="0"/>
        <v>1</v>
      </c>
      <c r="M3" s="4"/>
      <c r="N3" s="4">
        <v>1</v>
      </c>
      <c r="O3" s="4"/>
      <c r="P3" s="4"/>
      <c r="Q3" s="4"/>
      <c r="R3" s="4"/>
      <c r="S3" s="3">
        <f t="shared" si="1"/>
        <v>1</v>
      </c>
      <c r="T3" s="5"/>
    </row>
    <row r="4" spans="1:20" ht="28.5" x14ac:dyDescent="0.25">
      <c r="A4" s="3" t="s">
        <v>204</v>
      </c>
      <c r="B4" s="3" t="s">
        <v>205</v>
      </c>
      <c r="C4" s="3">
        <v>1</v>
      </c>
      <c r="D4" s="3">
        <v>3</v>
      </c>
      <c r="E4" s="2" t="s">
        <v>310</v>
      </c>
      <c r="F4" s="3">
        <v>2</v>
      </c>
      <c r="G4" s="4" t="s">
        <v>558</v>
      </c>
      <c r="H4" s="4"/>
      <c r="I4" s="4"/>
      <c r="J4" s="4">
        <v>1</v>
      </c>
      <c r="K4" s="4"/>
      <c r="L4" s="3">
        <f t="shared" si="0"/>
        <v>1</v>
      </c>
      <c r="M4" s="4"/>
      <c r="N4" s="4"/>
      <c r="O4" s="4"/>
      <c r="P4" s="4"/>
      <c r="Q4" s="4"/>
      <c r="R4" s="4"/>
      <c r="S4" s="3">
        <f t="shared" si="1"/>
        <v>0</v>
      </c>
      <c r="T4" s="5"/>
    </row>
    <row r="5" spans="1:20" ht="28.5" x14ac:dyDescent="0.25">
      <c r="A5" s="3" t="s">
        <v>204</v>
      </c>
      <c r="B5" s="3" t="s">
        <v>205</v>
      </c>
      <c r="C5" s="3">
        <v>1</v>
      </c>
      <c r="D5" s="3">
        <v>4</v>
      </c>
      <c r="E5" s="2" t="s">
        <v>311</v>
      </c>
      <c r="F5" s="3">
        <v>5</v>
      </c>
      <c r="G5" s="4" t="s">
        <v>559</v>
      </c>
      <c r="H5" s="4"/>
      <c r="I5" s="4">
        <v>2</v>
      </c>
      <c r="J5" s="4">
        <v>1</v>
      </c>
      <c r="K5" s="4"/>
      <c r="L5" s="3">
        <f t="shared" si="0"/>
        <v>2</v>
      </c>
      <c r="M5" s="4"/>
      <c r="N5" s="4"/>
      <c r="O5" s="4"/>
      <c r="P5" s="4"/>
      <c r="Q5" s="4"/>
      <c r="R5" s="4"/>
      <c r="S5" s="3">
        <f t="shared" si="1"/>
        <v>0</v>
      </c>
      <c r="T5" s="5"/>
    </row>
    <row r="6" spans="1:20" x14ac:dyDescent="0.25">
      <c r="A6" s="3" t="s">
        <v>209</v>
      </c>
      <c r="B6" s="3" t="s">
        <v>205</v>
      </c>
      <c r="C6" s="3">
        <v>2</v>
      </c>
      <c r="D6" s="3">
        <v>1</v>
      </c>
      <c r="E6" s="2" t="s">
        <v>308</v>
      </c>
      <c r="F6" s="3">
        <v>2</v>
      </c>
      <c r="G6" s="4" t="s">
        <v>557</v>
      </c>
      <c r="H6" s="4"/>
      <c r="I6" s="4"/>
      <c r="J6" s="4"/>
      <c r="K6" s="4"/>
      <c r="L6" s="3">
        <f t="shared" si="0"/>
        <v>2</v>
      </c>
      <c r="M6" s="4"/>
      <c r="N6" s="4"/>
      <c r="O6" s="4"/>
      <c r="P6" s="4"/>
      <c r="Q6" s="4"/>
      <c r="R6" s="4"/>
      <c r="S6" s="3">
        <f t="shared" si="1"/>
        <v>0</v>
      </c>
      <c r="T6" s="5"/>
    </row>
    <row r="7" spans="1:20" ht="28.5" x14ac:dyDescent="0.25">
      <c r="A7" s="3" t="s">
        <v>209</v>
      </c>
      <c r="B7" s="3" t="s">
        <v>205</v>
      </c>
      <c r="C7" s="3">
        <v>2</v>
      </c>
      <c r="D7" s="3">
        <v>2</v>
      </c>
      <c r="E7" s="2" t="s">
        <v>312</v>
      </c>
      <c r="F7" s="3">
        <v>9</v>
      </c>
      <c r="G7" s="4" t="s">
        <v>558</v>
      </c>
      <c r="H7" s="4"/>
      <c r="I7" s="4">
        <v>1</v>
      </c>
      <c r="J7" s="4"/>
      <c r="K7" s="4"/>
      <c r="L7" s="3">
        <f t="shared" si="0"/>
        <v>8</v>
      </c>
      <c r="M7" s="4"/>
      <c r="N7" s="4"/>
      <c r="O7" s="4"/>
      <c r="P7" s="4"/>
      <c r="Q7" s="4"/>
      <c r="R7" s="4"/>
      <c r="S7" s="3">
        <f t="shared" si="1"/>
        <v>0</v>
      </c>
      <c r="T7" s="5"/>
    </row>
    <row r="8" spans="1:20" ht="57" x14ac:dyDescent="0.25">
      <c r="A8" s="3" t="s">
        <v>209</v>
      </c>
      <c r="B8" s="3" t="s">
        <v>205</v>
      </c>
      <c r="C8" s="3">
        <v>2</v>
      </c>
      <c r="D8" s="3">
        <v>3</v>
      </c>
      <c r="E8" s="2" t="s">
        <v>313</v>
      </c>
      <c r="F8" s="3">
        <v>17</v>
      </c>
      <c r="G8" s="4" t="s">
        <v>557</v>
      </c>
      <c r="H8" s="4"/>
      <c r="I8" s="4"/>
      <c r="J8" s="4"/>
      <c r="K8" s="4"/>
      <c r="L8" s="3">
        <f t="shared" si="0"/>
        <v>17</v>
      </c>
      <c r="M8" s="4"/>
      <c r="N8" s="4"/>
      <c r="O8" s="4"/>
      <c r="P8" s="4"/>
      <c r="Q8" s="4"/>
      <c r="R8" s="4"/>
      <c r="S8" s="3">
        <f t="shared" si="1"/>
        <v>0</v>
      </c>
      <c r="T8" s="5"/>
    </row>
    <row r="9" spans="1:20" ht="57" x14ac:dyDescent="0.25">
      <c r="A9" s="3" t="s">
        <v>209</v>
      </c>
      <c r="B9" s="3" t="s">
        <v>205</v>
      </c>
      <c r="C9" s="3">
        <v>2</v>
      </c>
      <c r="D9" s="3">
        <v>4</v>
      </c>
      <c r="E9" s="2" t="s">
        <v>314</v>
      </c>
      <c r="F9" s="3">
        <v>18</v>
      </c>
      <c r="G9" s="4" t="s">
        <v>558</v>
      </c>
      <c r="H9" s="4">
        <v>5</v>
      </c>
      <c r="I9" s="4"/>
      <c r="J9" s="4">
        <v>3</v>
      </c>
      <c r="K9" s="4"/>
      <c r="L9" s="3">
        <f t="shared" si="0"/>
        <v>10</v>
      </c>
      <c r="M9" s="4"/>
      <c r="N9" s="4"/>
      <c r="O9" s="4"/>
      <c r="P9" s="4"/>
      <c r="Q9" s="4"/>
      <c r="R9" s="4"/>
      <c r="S9" s="3">
        <f t="shared" si="1"/>
        <v>0</v>
      </c>
      <c r="T9" s="5"/>
    </row>
    <row r="10" spans="1:20" ht="28.5" x14ac:dyDescent="0.25">
      <c r="A10" s="3" t="s">
        <v>209</v>
      </c>
      <c r="B10" s="3" t="s">
        <v>205</v>
      </c>
      <c r="C10" s="3">
        <v>2</v>
      </c>
      <c r="D10" s="3">
        <v>5</v>
      </c>
      <c r="E10" s="2" t="s">
        <v>315</v>
      </c>
      <c r="F10" s="3">
        <v>5</v>
      </c>
      <c r="G10" s="4" t="s">
        <v>558</v>
      </c>
      <c r="H10" s="4"/>
      <c r="I10" s="4">
        <v>2</v>
      </c>
      <c r="J10" s="4">
        <v>1</v>
      </c>
      <c r="K10" s="4"/>
      <c r="L10" s="3">
        <f t="shared" si="0"/>
        <v>2</v>
      </c>
      <c r="M10" s="4"/>
      <c r="N10" s="4"/>
      <c r="O10" s="4"/>
      <c r="P10" s="4"/>
      <c r="Q10" s="4"/>
      <c r="R10" s="4"/>
      <c r="S10" s="3">
        <f t="shared" si="1"/>
        <v>0</v>
      </c>
      <c r="T10" s="5"/>
    </row>
    <row r="11" spans="1:20" x14ac:dyDescent="0.25">
      <c r="A11" s="3" t="s">
        <v>212</v>
      </c>
      <c r="B11" s="3" t="s">
        <v>205</v>
      </c>
      <c r="C11" s="3">
        <v>3</v>
      </c>
      <c r="D11" s="3">
        <v>1</v>
      </c>
      <c r="E11" s="2" t="s">
        <v>308</v>
      </c>
      <c r="F11" s="3">
        <v>2</v>
      </c>
      <c r="G11" s="4" t="s">
        <v>557</v>
      </c>
      <c r="H11" s="4"/>
      <c r="I11" s="4"/>
      <c r="J11" s="4"/>
      <c r="K11" s="4"/>
      <c r="L11" s="3">
        <f t="shared" si="0"/>
        <v>2</v>
      </c>
      <c r="M11" s="4"/>
      <c r="N11" s="4"/>
      <c r="O11" s="4"/>
      <c r="P11" s="4"/>
      <c r="Q11" s="4"/>
      <c r="R11" s="4"/>
      <c r="S11" s="3">
        <f t="shared" si="1"/>
        <v>0</v>
      </c>
      <c r="T11" s="5"/>
    </row>
    <row r="12" spans="1:20" ht="28.5" x14ac:dyDescent="0.25">
      <c r="A12" s="3" t="s">
        <v>212</v>
      </c>
      <c r="B12" s="3" t="s">
        <v>205</v>
      </c>
      <c r="C12" s="3">
        <v>3</v>
      </c>
      <c r="D12" s="3">
        <v>2</v>
      </c>
      <c r="E12" s="2" t="s">
        <v>316</v>
      </c>
      <c r="F12" s="3">
        <v>8</v>
      </c>
      <c r="G12" s="4" t="s">
        <v>558</v>
      </c>
      <c r="H12" s="4"/>
      <c r="I12" s="4">
        <v>1</v>
      </c>
      <c r="J12" s="4">
        <v>1</v>
      </c>
      <c r="K12" s="4"/>
      <c r="L12" s="3">
        <f t="shared" si="0"/>
        <v>6</v>
      </c>
      <c r="M12" s="4"/>
      <c r="N12" s="4"/>
      <c r="O12" s="4"/>
      <c r="P12" s="4"/>
      <c r="Q12" s="4"/>
      <c r="R12" s="4"/>
      <c r="S12" s="3">
        <f t="shared" si="1"/>
        <v>0</v>
      </c>
      <c r="T12" s="5"/>
    </row>
    <row r="13" spans="1:20" ht="28.5" x14ac:dyDescent="0.25">
      <c r="A13" s="3" t="s">
        <v>212</v>
      </c>
      <c r="B13" s="3" t="s">
        <v>205</v>
      </c>
      <c r="C13" s="3">
        <v>3</v>
      </c>
      <c r="D13" s="3">
        <v>3</v>
      </c>
      <c r="E13" s="2" t="s">
        <v>317</v>
      </c>
      <c r="F13" s="3">
        <v>8</v>
      </c>
      <c r="G13" s="4" t="s">
        <v>558</v>
      </c>
      <c r="H13" s="4">
        <v>1</v>
      </c>
      <c r="I13" s="4"/>
      <c r="J13" s="4"/>
      <c r="K13" s="4"/>
      <c r="L13" s="3">
        <f t="shared" si="0"/>
        <v>7</v>
      </c>
      <c r="M13" s="4"/>
      <c r="N13" s="4"/>
      <c r="O13" s="4"/>
      <c r="P13" s="4"/>
      <c r="Q13" s="4"/>
      <c r="R13" s="4"/>
      <c r="S13" s="3">
        <f t="shared" si="1"/>
        <v>0</v>
      </c>
      <c r="T13" s="5"/>
    </row>
    <row r="14" spans="1:20" ht="28.5" x14ac:dyDescent="0.25">
      <c r="A14" s="3" t="s">
        <v>212</v>
      </c>
      <c r="B14" s="3" t="s">
        <v>205</v>
      </c>
      <c r="C14" s="3">
        <v>3</v>
      </c>
      <c r="D14" s="3">
        <v>4</v>
      </c>
      <c r="E14" s="2" t="s">
        <v>318</v>
      </c>
      <c r="F14" s="3">
        <v>9</v>
      </c>
      <c r="G14" s="4" t="s">
        <v>558</v>
      </c>
      <c r="H14" s="4">
        <v>3</v>
      </c>
      <c r="I14" s="4"/>
      <c r="J14" s="4"/>
      <c r="K14" s="4">
        <v>1</v>
      </c>
      <c r="L14" s="3">
        <f t="shared" si="0"/>
        <v>5</v>
      </c>
      <c r="M14" s="4"/>
      <c r="N14" s="4">
        <v>1</v>
      </c>
      <c r="O14" s="4"/>
      <c r="P14" s="4"/>
      <c r="Q14" s="4"/>
      <c r="R14" s="4"/>
      <c r="S14" s="3">
        <f t="shared" si="1"/>
        <v>1</v>
      </c>
      <c r="T14" s="5"/>
    </row>
    <row r="15" spans="1:20" ht="28.5" x14ac:dyDescent="0.25">
      <c r="A15" s="3" t="s">
        <v>212</v>
      </c>
      <c r="B15" s="3" t="s">
        <v>205</v>
      </c>
      <c r="C15" s="3">
        <v>3</v>
      </c>
      <c r="D15" s="3">
        <v>5</v>
      </c>
      <c r="E15" s="2" t="s">
        <v>319</v>
      </c>
      <c r="F15" s="3">
        <v>9</v>
      </c>
      <c r="G15" s="4" t="s">
        <v>558</v>
      </c>
      <c r="H15" s="4">
        <v>2</v>
      </c>
      <c r="I15" s="4"/>
      <c r="J15" s="4"/>
      <c r="K15" s="4"/>
      <c r="L15" s="3">
        <f t="shared" si="0"/>
        <v>7</v>
      </c>
      <c r="M15" s="4"/>
      <c r="N15" s="4"/>
      <c r="O15" s="4"/>
      <c r="P15" s="4"/>
      <c r="Q15" s="4"/>
      <c r="R15" s="4"/>
      <c r="S15" s="3">
        <f t="shared" si="1"/>
        <v>0</v>
      </c>
      <c r="T15" s="5"/>
    </row>
    <row r="16" spans="1:20" ht="28.5" x14ac:dyDescent="0.25">
      <c r="A16" s="3" t="s">
        <v>212</v>
      </c>
      <c r="B16" s="3" t="s">
        <v>205</v>
      </c>
      <c r="C16" s="3">
        <v>3</v>
      </c>
      <c r="D16" s="3">
        <v>6</v>
      </c>
      <c r="E16" s="2" t="s">
        <v>320</v>
      </c>
      <c r="F16" s="3">
        <v>6</v>
      </c>
      <c r="G16" s="4" t="s">
        <v>557</v>
      </c>
      <c r="H16" s="4"/>
      <c r="I16" s="4"/>
      <c r="J16" s="4"/>
      <c r="K16" s="4"/>
      <c r="L16" s="3">
        <f t="shared" si="0"/>
        <v>6</v>
      </c>
      <c r="M16" s="4"/>
      <c r="N16" s="4"/>
      <c r="O16" s="4"/>
      <c r="P16" s="4"/>
      <c r="Q16" s="4"/>
      <c r="R16" s="4"/>
      <c r="S16" s="3">
        <f t="shared" si="1"/>
        <v>0</v>
      </c>
      <c r="T16" s="5"/>
    </row>
    <row r="17" spans="1:20" x14ac:dyDescent="0.25">
      <c r="A17" s="3" t="s">
        <v>212</v>
      </c>
      <c r="B17" s="3" t="s">
        <v>205</v>
      </c>
      <c r="C17" s="3">
        <v>3</v>
      </c>
      <c r="D17" s="3">
        <v>7</v>
      </c>
      <c r="E17" s="2" t="s">
        <v>321</v>
      </c>
      <c r="F17" s="3">
        <v>6</v>
      </c>
      <c r="G17" s="4" t="s">
        <v>557</v>
      </c>
      <c r="H17" s="4"/>
      <c r="I17" s="4"/>
      <c r="J17" s="4"/>
      <c r="K17" s="4"/>
      <c r="L17" s="3">
        <f t="shared" si="0"/>
        <v>6</v>
      </c>
      <c r="M17" s="4"/>
      <c r="N17" s="4"/>
      <c r="O17" s="4"/>
      <c r="P17" s="4"/>
      <c r="Q17" s="4"/>
      <c r="R17" s="4"/>
      <c r="S17" s="3">
        <f t="shared" si="1"/>
        <v>0</v>
      </c>
      <c r="T17" s="5"/>
    </row>
    <row r="18" spans="1:20" x14ac:dyDescent="0.25">
      <c r="A18" s="3" t="s">
        <v>215</v>
      </c>
      <c r="B18" s="3" t="s">
        <v>205</v>
      </c>
      <c r="C18" s="3">
        <v>4</v>
      </c>
      <c r="D18" s="3">
        <v>1</v>
      </c>
      <c r="E18" s="2" t="s">
        <v>322</v>
      </c>
      <c r="F18" s="3">
        <v>7</v>
      </c>
      <c r="G18" s="4"/>
      <c r="H18" s="4"/>
      <c r="I18" s="4"/>
      <c r="J18" s="4"/>
      <c r="K18" s="4"/>
      <c r="L18" s="3">
        <f t="shared" si="0"/>
        <v>7</v>
      </c>
      <c r="M18" s="4"/>
      <c r="N18" s="4"/>
      <c r="O18" s="4"/>
      <c r="P18" s="4"/>
      <c r="Q18" s="4"/>
      <c r="R18" s="4"/>
      <c r="S18" s="3">
        <f t="shared" si="1"/>
        <v>0</v>
      </c>
      <c r="T18" s="5"/>
    </row>
    <row r="19" spans="1:20" ht="42.75" x14ac:dyDescent="0.25">
      <c r="A19" s="3" t="s">
        <v>215</v>
      </c>
      <c r="B19" s="3" t="s">
        <v>205</v>
      </c>
      <c r="C19" s="3">
        <v>4</v>
      </c>
      <c r="D19" s="3">
        <v>2</v>
      </c>
      <c r="E19" s="2" t="s">
        <v>323</v>
      </c>
      <c r="F19" s="3">
        <v>20</v>
      </c>
      <c r="G19" s="4"/>
      <c r="H19" s="4"/>
      <c r="I19" s="4"/>
      <c r="J19" s="4"/>
      <c r="K19" s="4"/>
      <c r="L19" s="3">
        <f t="shared" si="0"/>
        <v>20</v>
      </c>
      <c r="M19" s="4"/>
      <c r="N19" s="4"/>
      <c r="O19" s="4"/>
      <c r="P19" s="4"/>
      <c r="Q19" s="4"/>
      <c r="R19" s="4"/>
      <c r="S19" s="3">
        <f t="shared" si="1"/>
        <v>0</v>
      </c>
      <c r="T19" s="5"/>
    </row>
    <row r="20" spans="1:20" x14ac:dyDescent="0.25">
      <c r="A20" s="3" t="s">
        <v>215</v>
      </c>
      <c r="B20" s="3" t="s">
        <v>205</v>
      </c>
      <c r="C20" s="3">
        <v>4</v>
      </c>
      <c r="D20" s="3">
        <v>3</v>
      </c>
      <c r="E20" s="2" t="s">
        <v>324</v>
      </c>
      <c r="F20" s="3">
        <v>8</v>
      </c>
      <c r="G20" s="4"/>
      <c r="H20" s="4"/>
      <c r="I20" s="4"/>
      <c r="J20" s="4"/>
      <c r="K20" s="4"/>
      <c r="L20" s="3">
        <f t="shared" si="0"/>
        <v>8</v>
      </c>
      <c r="M20" s="4"/>
      <c r="N20" s="4"/>
      <c r="O20" s="4"/>
      <c r="P20" s="4"/>
      <c r="Q20" s="4"/>
      <c r="R20" s="4"/>
      <c r="S20" s="3">
        <f t="shared" si="1"/>
        <v>0</v>
      </c>
      <c r="T20" s="5"/>
    </row>
    <row r="21" spans="1:20" ht="28.5" x14ac:dyDescent="0.25">
      <c r="A21" s="3" t="s">
        <v>215</v>
      </c>
      <c r="B21" s="3" t="s">
        <v>205</v>
      </c>
      <c r="C21" s="3">
        <v>4</v>
      </c>
      <c r="D21" s="3">
        <v>4</v>
      </c>
      <c r="E21" s="2" t="s">
        <v>325</v>
      </c>
      <c r="F21" s="3">
        <v>12</v>
      </c>
      <c r="G21" s="4"/>
      <c r="H21" s="4"/>
      <c r="I21" s="4"/>
      <c r="J21" s="4"/>
      <c r="K21" s="4"/>
      <c r="L21" s="3">
        <f t="shared" si="0"/>
        <v>12</v>
      </c>
      <c r="M21" s="4"/>
      <c r="N21" s="4"/>
      <c r="O21" s="4"/>
      <c r="P21" s="4"/>
      <c r="Q21" s="4"/>
      <c r="R21" s="4"/>
      <c r="S21" s="3">
        <f t="shared" si="1"/>
        <v>0</v>
      </c>
      <c r="T21" s="5"/>
    </row>
    <row r="22" spans="1:20" x14ac:dyDescent="0.25">
      <c r="A22" s="3" t="s">
        <v>215</v>
      </c>
      <c r="B22" s="3" t="s">
        <v>205</v>
      </c>
      <c r="C22" s="3">
        <v>4</v>
      </c>
      <c r="D22" s="3">
        <v>5</v>
      </c>
      <c r="E22" s="2" t="s">
        <v>326</v>
      </c>
      <c r="F22" s="3">
        <v>8</v>
      </c>
      <c r="G22" s="4"/>
      <c r="H22" s="4"/>
      <c r="I22" s="4"/>
      <c r="J22" s="4"/>
      <c r="K22" s="4"/>
      <c r="L22" s="3">
        <f t="shared" si="0"/>
        <v>8</v>
      </c>
      <c r="M22" s="4"/>
      <c r="N22" s="4"/>
      <c r="O22" s="4"/>
      <c r="P22" s="4"/>
      <c r="Q22" s="4"/>
      <c r="R22" s="4"/>
      <c r="S22" s="3">
        <f t="shared" si="1"/>
        <v>0</v>
      </c>
      <c r="T22" s="5"/>
    </row>
    <row r="23" spans="1:20" x14ac:dyDescent="0.25">
      <c r="A23" s="3" t="s">
        <v>215</v>
      </c>
      <c r="B23" s="3" t="s">
        <v>205</v>
      </c>
      <c r="C23" s="3">
        <v>4</v>
      </c>
      <c r="D23" s="3">
        <v>6</v>
      </c>
      <c r="E23" s="2" t="s">
        <v>327</v>
      </c>
      <c r="F23" s="3">
        <v>2</v>
      </c>
      <c r="G23" s="4"/>
      <c r="H23" s="4"/>
      <c r="I23" s="4"/>
      <c r="J23" s="4"/>
      <c r="K23" s="4"/>
      <c r="L23" s="3">
        <f t="shared" si="0"/>
        <v>2</v>
      </c>
      <c r="M23" s="4"/>
      <c r="N23" s="4"/>
      <c r="O23" s="4"/>
      <c r="P23" s="4"/>
      <c r="Q23" s="4"/>
      <c r="R23" s="4"/>
      <c r="S23" s="3">
        <f t="shared" si="1"/>
        <v>0</v>
      </c>
      <c r="T23" s="5"/>
    </row>
    <row r="24" spans="1:20" x14ac:dyDescent="0.25">
      <c r="A24" s="3" t="s">
        <v>215</v>
      </c>
      <c r="B24" s="3" t="s">
        <v>205</v>
      </c>
      <c r="C24" s="3">
        <v>4</v>
      </c>
      <c r="D24" s="3">
        <v>7</v>
      </c>
      <c r="E24" s="2" t="s">
        <v>328</v>
      </c>
      <c r="F24" s="3">
        <v>10</v>
      </c>
      <c r="G24" s="4"/>
      <c r="H24" s="4"/>
      <c r="I24" s="4"/>
      <c r="J24" s="4"/>
      <c r="K24" s="4"/>
      <c r="L24" s="3">
        <f t="shared" si="0"/>
        <v>10</v>
      </c>
      <c r="M24" s="4"/>
      <c r="N24" s="4"/>
      <c r="O24" s="4"/>
      <c r="P24" s="4"/>
      <c r="Q24" s="4"/>
      <c r="R24" s="4"/>
      <c r="S24" s="3">
        <f t="shared" si="1"/>
        <v>0</v>
      </c>
      <c r="T24" s="5"/>
    </row>
    <row r="25" spans="1:20" x14ac:dyDescent="0.25">
      <c r="A25" s="3" t="s">
        <v>215</v>
      </c>
      <c r="B25" s="3" t="s">
        <v>205</v>
      </c>
      <c r="C25" s="3">
        <v>4</v>
      </c>
      <c r="D25" s="3">
        <v>8</v>
      </c>
      <c r="E25" s="2" t="s">
        <v>329</v>
      </c>
      <c r="F25" s="3">
        <v>5</v>
      </c>
      <c r="G25" s="4"/>
      <c r="H25" s="4"/>
      <c r="I25" s="4"/>
      <c r="J25" s="4"/>
      <c r="K25" s="4"/>
      <c r="L25" s="3">
        <f t="shared" si="0"/>
        <v>5</v>
      </c>
      <c r="M25" s="4"/>
      <c r="N25" s="4"/>
      <c r="O25" s="4"/>
      <c r="P25" s="4"/>
      <c r="Q25" s="4"/>
      <c r="R25" s="4"/>
      <c r="S25" s="3">
        <f t="shared" si="1"/>
        <v>0</v>
      </c>
      <c r="T25" s="5"/>
    </row>
    <row r="26" spans="1:20" x14ac:dyDescent="0.25">
      <c r="A26" s="3" t="s">
        <v>215</v>
      </c>
      <c r="B26" s="3" t="s">
        <v>205</v>
      </c>
      <c r="C26" s="3">
        <v>4</v>
      </c>
      <c r="D26" s="3">
        <v>9</v>
      </c>
      <c r="E26" s="2" t="s">
        <v>330</v>
      </c>
      <c r="F26" s="3">
        <v>6</v>
      </c>
      <c r="G26" s="4"/>
      <c r="H26" s="4"/>
      <c r="I26" s="4"/>
      <c r="J26" s="4"/>
      <c r="K26" s="4"/>
      <c r="L26" s="3">
        <f t="shared" si="0"/>
        <v>6</v>
      </c>
      <c r="M26" s="4"/>
      <c r="N26" s="4"/>
      <c r="O26" s="4"/>
      <c r="P26" s="4"/>
      <c r="Q26" s="4"/>
      <c r="R26" s="4"/>
      <c r="S26" s="3">
        <f t="shared" si="1"/>
        <v>0</v>
      </c>
      <c r="T26" s="5"/>
    </row>
    <row r="27" spans="1:20" x14ac:dyDescent="0.25">
      <c r="A27" s="3" t="s">
        <v>215</v>
      </c>
      <c r="B27" s="3" t="s">
        <v>205</v>
      </c>
      <c r="C27" s="3">
        <v>4</v>
      </c>
      <c r="D27" s="3">
        <v>10</v>
      </c>
      <c r="E27" s="2" t="s">
        <v>331</v>
      </c>
      <c r="F27" s="3">
        <v>3</v>
      </c>
      <c r="G27" s="4"/>
      <c r="H27" s="4"/>
      <c r="I27" s="4"/>
      <c r="J27" s="4"/>
      <c r="K27" s="4"/>
      <c r="L27" s="3">
        <f t="shared" si="0"/>
        <v>3</v>
      </c>
      <c r="M27" s="4"/>
      <c r="N27" s="4"/>
      <c r="O27" s="4"/>
      <c r="P27" s="4"/>
      <c r="Q27" s="4"/>
      <c r="R27" s="4"/>
      <c r="S27" s="3">
        <f t="shared" si="1"/>
        <v>0</v>
      </c>
      <c r="T27" s="5"/>
    </row>
    <row r="28" spans="1:20" x14ac:dyDescent="0.25">
      <c r="A28" s="3" t="s">
        <v>215</v>
      </c>
      <c r="B28" s="3" t="s">
        <v>205</v>
      </c>
      <c r="C28" s="3">
        <v>4</v>
      </c>
      <c r="D28" s="3">
        <v>11</v>
      </c>
      <c r="E28" s="2" t="s">
        <v>332</v>
      </c>
      <c r="F28" s="3">
        <v>4</v>
      </c>
      <c r="G28" s="4"/>
      <c r="H28" s="4"/>
      <c r="I28" s="4"/>
      <c r="J28" s="4"/>
      <c r="K28" s="4"/>
      <c r="L28" s="3">
        <f t="shared" si="0"/>
        <v>4</v>
      </c>
      <c r="M28" s="4"/>
      <c r="N28" s="4"/>
      <c r="O28" s="4"/>
      <c r="P28" s="4"/>
      <c r="Q28" s="4"/>
      <c r="R28" s="4"/>
      <c r="S28" s="3">
        <f t="shared" si="1"/>
        <v>0</v>
      </c>
      <c r="T28" s="5"/>
    </row>
    <row r="29" spans="1:20" x14ac:dyDescent="0.25">
      <c r="A29" s="3" t="s">
        <v>215</v>
      </c>
      <c r="B29" s="3" t="s">
        <v>205</v>
      </c>
      <c r="C29" s="3">
        <v>4</v>
      </c>
      <c r="D29" s="3">
        <v>12</v>
      </c>
      <c r="E29" s="2" t="s">
        <v>333</v>
      </c>
      <c r="F29" s="3">
        <v>2</v>
      </c>
      <c r="G29" s="4"/>
      <c r="H29" s="4"/>
      <c r="I29" s="4"/>
      <c r="J29" s="4"/>
      <c r="K29" s="4"/>
      <c r="L29" s="3">
        <f t="shared" si="0"/>
        <v>2</v>
      </c>
      <c r="M29" s="4"/>
      <c r="N29" s="4"/>
      <c r="O29" s="4"/>
      <c r="P29" s="4"/>
      <c r="Q29" s="4"/>
      <c r="R29" s="4"/>
      <c r="S29" s="3">
        <f t="shared" si="1"/>
        <v>0</v>
      </c>
      <c r="T29" s="5"/>
    </row>
    <row r="30" spans="1:20" x14ac:dyDescent="0.25">
      <c r="A30" s="3" t="s">
        <v>215</v>
      </c>
      <c r="B30" s="3" t="s">
        <v>205</v>
      </c>
      <c r="C30" s="3">
        <v>4</v>
      </c>
      <c r="D30" s="3">
        <v>13</v>
      </c>
      <c r="E30" s="2" t="s">
        <v>334</v>
      </c>
      <c r="F30" s="3">
        <v>5</v>
      </c>
      <c r="G30" s="4"/>
      <c r="H30" s="4"/>
      <c r="I30" s="4"/>
      <c r="J30" s="4"/>
      <c r="K30" s="4"/>
      <c r="L30" s="3">
        <f t="shared" si="0"/>
        <v>5</v>
      </c>
      <c r="M30" s="4"/>
      <c r="N30" s="4"/>
      <c r="O30" s="4"/>
      <c r="P30" s="4"/>
      <c r="Q30" s="4"/>
      <c r="R30" s="4"/>
      <c r="S30" s="3">
        <f t="shared" si="1"/>
        <v>0</v>
      </c>
      <c r="T30" s="5"/>
    </row>
    <row r="31" spans="1:20" ht="28.5" x14ac:dyDescent="0.25">
      <c r="A31" s="3" t="s">
        <v>215</v>
      </c>
      <c r="B31" s="3" t="s">
        <v>205</v>
      </c>
      <c r="C31" s="3">
        <v>4</v>
      </c>
      <c r="D31" s="3">
        <v>14</v>
      </c>
      <c r="E31" s="2" t="s">
        <v>335</v>
      </c>
      <c r="F31" s="3">
        <v>11</v>
      </c>
      <c r="G31" s="4"/>
      <c r="H31" s="4"/>
      <c r="I31" s="4"/>
      <c r="J31" s="4"/>
      <c r="K31" s="4"/>
      <c r="L31" s="3">
        <f t="shared" si="0"/>
        <v>11</v>
      </c>
      <c r="M31" s="4"/>
      <c r="N31" s="4"/>
      <c r="O31" s="4"/>
      <c r="P31" s="4"/>
      <c r="Q31" s="4"/>
      <c r="R31" s="4"/>
      <c r="S31" s="3">
        <f t="shared" si="1"/>
        <v>0</v>
      </c>
      <c r="T31" s="5"/>
    </row>
    <row r="32" spans="1:20" x14ac:dyDescent="0.25">
      <c r="A32" s="3" t="s">
        <v>215</v>
      </c>
      <c r="B32" s="3" t="s">
        <v>205</v>
      </c>
      <c r="C32" s="3">
        <v>4</v>
      </c>
      <c r="D32" s="3">
        <v>15</v>
      </c>
      <c r="E32" s="2" t="s">
        <v>336</v>
      </c>
      <c r="F32" s="3">
        <v>9</v>
      </c>
      <c r="G32" s="4"/>
      <c r="H32" s="4"/>
      <c r="I32" s="4"/>
      <c r="J32" s="4"/>
      <c r="K32" s="4"/>
      <c r="L32" s="3">
        <f t="shared" si="0"/>
        <v>9</v>
      </c>
      <c r="M32" s="4"/>
      <c r="N32" s="4"/>
      <c r="O32" s="4"/>
      <c r="P32" s="4"/>
      <c r="Q32" s="4"/>
      <c r="R32" s="4"/>
      <c r="S32" s="3">
        <f t="shared" si="1"/>
        <v>0</v>
      </c>
      <c r="T32" s="5"/>
    </row>
    <row r="33" spans="1:20" x14ac:dyDescent="0.25">
      <c r="A33" s="3" t="s">
        <v>215</v>
      </c>
      <c r="B33" s="3" t="s">
        <v>205</v>
      </c>
      <c r="C33" s="3">
        <v>4</v>
      </c>
      <c r="D33" s="3">
        <v>16</v>
      </c>
      <c r="E33" s="2" t="s">
        <v>337</v>
      </c>
      <c r="F33" s="3">
        <v>9</v>
      </c>
      <c r="G33" s="4"/>
      <c r="H33" s="4"/>
      <c r="I33" s="4"/>
      <c r="J33" s="4"/>
      <c r="K33" s="4"/>
      <c r="L33" s="3">
        <f t="shared" si="0"/>
        <v>9</v>
      </c>
      <c r="M33" s="4"/>
      <c r="N33" s="4"/>
      <c r="O33" s="4"/>
      <c r="P33" s="4"/>
      <c r="Q33" s="4"/>
      <c r="R33" s="4"/>
      <c r="S33" s="3">
        <f t="shared" si="1"/>
        <v>0</v>
      </c>
      <c r="T33" s="5"/>
    </row>
    <row r="34" spans="1:20" x14ac:dyDescent="0.25">
      <c r="A34" s="3" t="s">
        <v>215</v>
      </c>
      <c r="B34" s="3" t="s">
        <v>205</v>
      </c>
      <c r="C34" s="3">
        <v>4</v>
      </c>
      <c r="D34" s="3">
        <v>17</v>
      </c>
      <c r="E34" s="2" t="s">
        <v>338</v>
      </c>
      <c r="F34" s="3">
        <v>8</v>
      </c>
      <c r="G34" s="4"/>
      <c r="H34" s="4"/>
      <c r="I34" s="4"/>
      <c r="J34" s="4"/>
      <c r="K34" s="4"/>
      <c r="L34" s="3">
        <f t="shared" si="0"/>
        <v>8</v>
      </c>
      <c r="M34" s="4"/>
      <c r="N34" s="4"/>
      <c r="O34" s="4"/>
      <c r="P34" s="4"/>
      <c r="Q34" s="4"/>
      <c r="R34" s="4"/>
      <c r="S34" s="3">
        <f t="shared" si="1"/>
        <v>0</v>
      </c>
      <c r="T34" s="5"/>
    </row>
    <row r="35" spans="1:20" x14ac:dyDescent="0.25">
      <c r="A35" s="3" t="s">
        <v>215</v>
      </c>
      <c r="B35" s="3" t="s">
        <v>205</v>
      </c>
      <c r="C35" s="3">
        <v>4</v>
      </c>
      <c r="D35" s="3">
        <v>18</v>
      </c>
      <c r="E35" s="2" t="s">
        <v>339</v>
      </c>
      <c r="F35" s="3">
        <v>9</v>
      </c>
      <c r="G35" s="4"/>
      <c r="H35" s="4"/>
      <c r="I35" s="4"/>
      <c r="J35" s="4"/>
      <c r="K35" s="4"/>
      <c r="L35" s="3">
        <f t="shared" si="0"/>
        <v>9</v>
      </c>
      <c r="M35" s="4"/>
      <c r="N35" s="4"/>
      <c r="O35" s="4"/>
      <c r="P35" s="4"/>
      <c r="Q35" s="4"/>
      <c r="R35" s="4"/>
      <c r="S35" s="3">
        <f t="shared" si="1"/>
        <v>0</v>
      </c>
      <c r="T35" s="5"/>
    </row>
    <row r="36" spans="1:20" x14ac:dyDescent="0.25">
      <c r="A36" s="3" t="s">
        <v>215</v>
      </c>
      <c r="B36" s="3" t="s">
        <v>205</v>
      </c>
      <c r="C36" s="3">
        <v>4</v>
      </c>
      <c r="D36" s="3">
        <v>19</v>
      </c>
      <c r="E36" s="2" t="s">
        <v>340</v>
      </c>
      <c r="F36" s="3">
        <v>1</v>
      </c>
      <c r="G36" s="4"/>
      <c r="H36" s="4"/>
      <c r="I36" s="4"/>
      <c r="J36" s="4"/>
      <c r="K36" s="4"/>
      <c r="L36" s="3">
        <f t="shared" si="0"/>
        <v>1</v>
      </c>
      <c r="M36" s="4"/>
      <c r="N36" s="4"/>
      <c r="O36" s="4"/>
      <c r="P36" s="4"/>
      <c r="Q36" s="4"/>
      <c r="R36" s="4"/>
      <c r="S36" s="3">
        <f t="shared" si="1"/>
        <v>0</v>
      </c>
      <c r="T36" s="5"/>
    </row>
    <row r="37" spans="1:20" x14ac:dyDescent="0.25">
      <c r="A37" s="3" t="s">
        <v>215</v>
      </c>
      <c r="B37" s="3" t="s">
        <v>205</v>
      </c>
      <c r="C37" s="3">
        <v>4</v>
      </c>
      <c r="D37" s="3">
        <v>20</v>
      </c>
      <c r="E37" s="2" t="s">
        <v>341</v>
      </c>
      <c r="F37" s="3">
        <v>3</v>
      </c>
      <c r="G37" s="4"/>
      <c r="H37" s="4"/>
      <c r="I37" s="4"/>
      <c r="J37" s="4"/>
      <c r="K37" s="4"/>
      <c r="L37" s="3">
        <f t="shared" si="0"/>
        <v>3</v>
      </c>
      <c r="M37" s="4"/>
      <c r="N37" s="4"/>
      <c r="O37" s="4"/>
      <c r="P37" s="4"/>
      <c r="Q37" s="4"/>
      <c r="R37" s="4"/>
      <c r="S37" s="3">
        <f t="shared" si="1"/>
        <v>0</v>
      </c>
      <c r="T37" s="5"/>
    </row>
    <row r="38" spans="1:20" x14ac:dyDescent="0.25">
      <c r="A38" s="3" t="s">
        <v>215</v>
      </c>
      <c r="B38" s="3" t="s">
        <v>205</v>
      </c>
      <c r="C38" s="3">
        <v>4</v>
      </c>
      <c r="D38" s="3">
        <v>21</v>
      </c>
      <c r="E38" s="2" t="s">
        <v>342</v>
      </c>
      <c r="F38" s="3">
        <v>11</v>
      </c>
      <c r="G38" s="4"/>
      <c r="H38" s="4"/>
      <c r="I38" s="4"/>
      <c r="J38" s="4"/>
      <c r="K38" s="4"/>
      <c r="L38" s="3">
        <f t="shared" si="0"/>
        <v>11</v>
      </c>
      <c r="M38" s="4"/>
      <c r="N38" s="4"/>
      <c r="O38" s="4"/>
      <c r="P38" s="4"/>
      <c r="Q38" s="4"/>
      <c r="R38" s="4"/>
      <c r="S38" s="3">
        <f t="shared" si="1"/>
        <v>0</v>
      </c>
      <c r="T38" s="5"/>
    </row>
    <row r="39" spans="1:20" ht="28.5" x14ac:dyDescent="0.25">
      <c r="A39" s="3" t="s">
        <v>215</v>
      </c>
      <c r="B39" s="3" t="s">
        <v>205</v>
      </c>
      <c r="C39" s="3">
        <v>4</v>
      </c>
      <c r="D39" s="3">
        <v>22</v>
      </c>
      <c r="E39" s="2" t="s">
        <v>343</v>
      </c>
      <c r="F39" s="3">
        <v>20</v>
      </c>
      <c r="G39" s="4"/>
      <c r="H39" s="4"/>
      <c r="I39" s="4"/>
      <c r="J39" s="4"/>
      <c r="K39" s="4"/>
      <c r="L39" s="3">
        <f t="shared" si="0"/>
        <v>20</v>
      </c>
      <c r="M39" s="4"/>
      <c r="N39" s="4"/>
      <c r="O39" s="4"/>
      <c r="P39" s="4"/>
      <c r="Q39" s="4"/>
      <c r="R39" s="4"/>
      <c r="S39" s="3">
        <f t="shared" si="1"/>
        <v>0</v>
      </c>
      <c r="T39" s="5"/>
    </row>
    <row r="40" spans="1:20" x14ac:dyDescent="0.25">
      <c r="A40" s="3" t="s">
        <v>218</v>
      </c>
      <c r="B40" s="3" t="s">
        <v>205</v>
      </c>
      <c r="C40" s="3">
        <v>5</v>
      </c>
      <c r="D40" s="3">
        <v>1</v>
      </c>
      <c r="E40" s="2" t="s">
        <v>308</v>
      </c>
      <c r="F40" s="3">
        <v>2</v>
      </c>
      <c r="G40" s="4" t="s">
        <v>557</v>
      </c>
      <c r="H40" s="4"/>
      <c r="I40" s="4"/>
      <c r="J40" s="4"/>
      <c r="K40" s="4"/>
      <c r="L40" s="3">
        <f t="shared" si="0"/>
        <v>2</v>
      </c>
      <c r="M40" s="4"/>
      <c r="N40" s="4"/>
      <c r="O40" s="4"/>
      <c r="P40" s="4"/>
      <c r="Q40" s="4"/>
      <c r="R40" s="4"/>
      <c r="S40" s="3">
        <f t="shared" si="1"/>
        <v>0</v>
      </c>
      <c r="T40" s="5"/>
    </row>
    <row r="41" spans="1:20" x14ac:dyDescent="0.25">
      <c r="A41" s="3" t="s">
        <v>218</v>
      </c>
      <c r="B41" s="3" t="s">
        <v>205</v>
      </c>
      <c r="C41" s="3">
        <v>5</v>
      </c>
      <c r="D41" s="3">
        <v>2</v>
      </c>
      <c r="E41" s="2" t="s">
        <v>344</v>
      </c>
      <c r="F41" s="3">
        <v>2</v>
      </c>
      <c r="G41" s="4" t="s">
        <v>557</v>
      </c>
      <c r="H41" s="4"/>
      <c r="I41" s="4"/>
      <c r="J41" s="4"/>
      <c r="K41" s="4"/>
      <c r="L41" s="3">
        <f t="shared" si="0"/>
        <v>2</v>
      </c>
      <c r="M41" s="4"/>
      <c r="N41" s="4"/>
      <c r="O41" s="4"/>
      <c r="P41" s="4"/>
      <c r="Q41" s="4"/>
      <c r="R41" s="4"/>
      <c r="S41" s="3">
        <f t="shared" si="1"/>
        <v>0</v>
      </c>
      <c r="T41" s="5"/>
    </row>
    <row r="42" spans="1:20" x14ac:dyDescent="0.25">
      <c r="A42" s="3" t="s">
        <v>218</v>
      </c>
      <c r="B42" s="3" t="s">
        <v>205</v>
      </c>
      <c r="C42" s="3">
        <v>5</v>
      </c>
      <c r="D42" s="3">
        <v>3</v>
      </c>
      <c r="E42" s="2" t="s">
        <v>345</v>
      </c>
      <c r="F42" s="3">
        <v>3</v>
      </c>
      <c r="G42" s="4" t="s">
        <v>557</v>
      </c>
      <c r="H42" s="4"/>
      <c r="I42" s="4"/>
      <c r="J42" s="4"/>
      <c r="K42" s="4"/>
      <c r="L42" s="3">
        <f t="shared" si="0"/>
        <v>3</v>
      </c>
      <c r="M42" s="4"/>
      <c r="N42" s="4"/>
      <c r="O42" s="4"/>
      <c r="P42" s="4"/>
      <c r="Q42" s="4"/>
      <c r="R42" s="4"/>
      <c r="S42" s="3">
        <f t="shared" si="1"/>
        <v>0</v>
      </c>
      <c r="T42" s="5"/>
    </row>
    <row r="43" spans="1:20" ht="28.5" x14ac:dyDescent="0.25">
      <c r="A43" s="3" t="s">
        <v>218</v>
      </c>
      <c r="B43" s="3" t="s">
        <v>205</v>
      </c>
      <c r="C43" s="3">
        <v>5</v>
      </c>
      <c r="D43" s="3">
        <v>4</v>
      </c>
      <c r="E43" s="2" t="s">
        <v>346</v>
      </c>
      <c r="F43" s="3">
        <v>6</v>
      </c>
      <c r="G43" s="4" t="s">
        <v>558</v>
      </c>
      <c r="H43" s="4"/>
      <c r="I43" s="4">
        <v>1</v>
      </c>
      <c r="J43" s="4"/>
      <c r="K43" s="4">
        <v>2</v>
      </c>
      <c r="L43" s="3">
        <f t="shared" si="0"/>
        <v>3</v>
      </c>
      <c r="M43" s="4"/>
      <c r="N43" s="4">
        <v>2</v>
      </c>
      <c r="O43" s="4"/>
      <c r="P43" s="4"/>
      <c r="Q43" s="4"/>
      <c r="R43" s="4"/>
      <c r="S43" s="3">
        <f t="shared" si="1"/>
        <v>2</v>
      </c>
      <c r="T43" s="5"/>
    </row>
    <row r="44" spans="1:20" ht="28.5" x14ac:dyDescent="0.25">
      <c r="A44" s="3" t="s">
        <v>218</v>
      </c>
      <c r="B44" s="3" t="s">
        <v>205</v>
      </c>
      <c r="C44" s="3">
        <v>5</v>
      </c>
      <c r="D44" s="3">
        <v>5</v>
      </c>
      <c r="E44" s="2" t="s">
        <v>347</v>
      </c>
      <c r="F44" s="3">
        <v>2</v>
      </c>
      <c r="G44" s="4" t="s">
        <v>559</v>
      </c>
      <c r="H44" s="4"/>
      <c r="I44" s="4">
        <v>1</v>
      </c>
      <c r="J44" s="4">
        <v>1</v>
      </c>
      <c r="K44" s="4"/>
      <c r="L44" s="3">
        <f t="shared" si="0"/>
        <v>0</v>
      </c>
      <c r="M44" s="4"/>
      <c r="N44" s="4"/>
      <c r="O44" s="4"/>
      <c r="P44" s="4"/>
      <c r="Q44" s="4"/>
      <c r="R44" s="4"/>
      <c r="S44" s="3">
        <f t="shared" si="1"/>
        <v>0</v>
      </c>
      <c r="T44" s="5"/>
    </row>
    <row r="45" spans="1:20" ht="28.5" x14ac:dyDescent="0.25">
      <c r="A45" s="3" t="s">
        <v>221</v>
      </c>
      <c r="B45" s="3" t="s">
        <v>222</v>
      </c>
      <c r="C45" s="3">
        <v>1</v>
      </c>
      <c r="D45" s="3">
        <v>1</v>
      </c>
      <c r="E45" s="2" t="s">
        <v>348</v>
      </c>
      <c r="F45" s="3">
        <v>5</v>
      </c>
      <c r="G45" s="4" t="s">
        <v>558</v>
      </c>
      <c r="H45" s="4"/>
      <c r="I45" s="4">
        <v>1</v>
      </c>
      <c r="J45" s="4">
        <v>1</v>
      </c>
      <c r="K45" s="4"/>
      <c r="L45" s="3">
        <f t="shared" si="0"/>
        <v>3</v>
      </c>
      <c r="M45" s="4"/>
      <c r="N45" s="4"/>
      <c r="O45" s="4"/>
      <c r="P45" s="4"/>
      <c r="Q45" s="4"/>
      <c r="R45" s="4"/>
      <c r="S45" s="3">
        <f t="shared" si="1"/>
        <v>0</v>
      </c>
      <c r="T45" s="5"/>
    </row>
    <row r="46" spans="1:20" ht="28.5" x14ac:dyDescent="0.25">
      <c r="A46" s="3" t="s">
        <v>221</v>
      </c>
      <c r="B46" s="3" t="s">
        <v>222</v>
      </c>
      <c r="C46" s="3">
        <v>1</v>
      </c>
      <c r="D46" s="3">
        <v>2</v>
      </c>
      <c r="E46" s="2" t="s">
        <v>349</v>
      </c>
      <c r="F46" s="3">
        <v>3</v>
      </c>
      <c r="G46" s="4" t="s">
        <v>559</v>
      </c>
      <c r="H46" s="4"/>
      <c r="I46" s="4"/>
      <c r="J46" s="4">
        <v>2</v>
      </c>
      <c r="K46" s="4"/>
      <c r="L46" s="3">
        <f t="shared" si="0"/>
        <v>1</v>
      </c>
      <c r="M46" s="4"/>
      <c r="N46" s="4"/>
      <c r="O46" s="4"/>
      <c r="P46" s="4"/>
      <c r="Q46" s="4"/>
      <c r="R46" s="4"/>
      <c r="S46" s="3">
        <f t="shared" si="1"/>
        <v>0</v>
      </c>
      <c r="T46" s="5"/>
    </row>
    <row r="47" spans="1:20" x14ac:dyDescent="0.25">
      <c r="A47" s="3" t="s">
        <v>225</v>
      </c>
      <c r="B47" s="3" t="s">
        <v>222</v>
      </c>
      <c r="C47" s="3">
        <v>2</v>
      </c>
      <c r="D47" s="3">
        <v>1</v>
      </c>
      <c r="E47" s="2" t="s">
        <v>350</v>
      </c>
      <c r="F47" s="3">
        <v>3</v>
      </c>
      <c r="G47" s="4" t="s">
        <v>557</v>
      </c>
      <c r="H47" s="4"/>
      <c r="I47" s="4"/>
      <c r="J47" s="4"/>
      <c r="K47" s="4"/>
      <c r="L47" s="3">
        <f t="shared" si="0"/>
        <v>3</v>
      </c>
      <c r="M47" s="4"/>
      <c r="N47" s="4"/>
      <c r="O47" s="4"/>
      <c r="P47" s="4"/>
      <c r="Q47" s="4"/>
      <c r="R47" s="4"/>
      <c r="S47" s="3">
        <f t="shared" si="1"/>
        <v>0</v>
      </c>
      <c r="T47" s="5"/>
    </row>
    <row r="48" spans="1:20" ht="57" x14ac:dyDescent="0.25">
      <c r="A48" s="3" t="s">
        <v>225</v>
      </c>
      <c r="B48" s="3" t="s">
        <v>222</v>
      </c>
      <c r="C48" s="3">
        <v>2</v>
      </c>
      <c r="D48" s="3">
        <v>2</v>
      </c>
      <c r="E48" s="2" t="s">
        <v>351</v>
      </c>
      <c r="F48" s="3">
        <v>25</v>
      </c>
      <c r="G48" s="4" t="s">
        <v>558</v>
      </c>
      <c r="H48" s="4">
        <v>2</v>
      </c>
      <c r="I48" s="4">
        <v>1</v>
      </c>
      <c r="J48" s="4"/>
      <c r="K48" s="4"/>
      <c r="L48" s="3">
        <f t="shared" si="0"/>
        <v>22</v>
      </c>
      <c r="M48" s="4"/>
      <c r="N48" s="4"/>
      <c r="O48" s="4"/>
      <c r="P48" s="4"/>
      <c r="Q48" s="4"/>
      <c r="R48" s="4"/>
      <c r="S48" s="3">
        <f t="shared" si="1"/>
        <v>0</v>
      </c>
      <c r="T48" s="5"/>
    </row>
    <row r="49" spans="1:20" ht="71.25" x14ac:dyDescent="0.25">
      <c r="A49" s="3" t="s">
        <v>225</v>
      </c>
      <c r="B49" s="3" t="s">
        <v>222</v>
      </c>
      <c r="C49" s="3">
        <v>2</v>
      </c>
      <c r="D49" s="3">
        <v>3</v>
      </c>
      <c r="E49" s="2" t="s">
        <v>352</v>
      </c>
      <c r="F49" s="3">
        <v>23</v>
      </c>
      <c r="G49" s="4" t="s">
        <v>558</v>
      </c>
      <c r="H49" s="4">
        <v>3</v>
      </c>
      <c r="I49" s="4"/>
      <c r="J49" s="4">
        <v>1</v>
      </c>
      <c r="K49" s="4">
        <v>1</v>
      </c>
      <c r="L49" s="3">
        <f t="shared" si="0"/>
        <v>18</v>
      </c>
      <c r="M49" s="4"/>
      <c r="N49" s="4">
        <v>1</v>
      </c>
      <c r="O49" s="4"/>
      <c r="P49" s="4"/>
      <c r="Q49" s="4"/>
      <c r="R49" s="4"/>
      <c r="S49" s="3">
        <f t="shared" si="1"/>
        <v>1</v>
      </c>
      <c r="T49" s="5"/>
    </row>
    <row r="50" spans="1:20" ht="28.5" x14ac:dyDescent="0.25">
      <c r="A50" s="3" t="s">
        <v>227</v>
      </c>
      <c r="B50" s="3" t="s">
        <v>222</v>
      </c>
      <c r="C50" s="3">
        <v>3</v>
      </c>
      <c r="D50" s="3">
        <v>1</v>
      </c>
      <c r="E50" s="2" t="s">
        <v>353</v>
      </c>
      <c r="F50" s="3">
        <v>13</v>
      </c>
      <c r="G50" s="4" t="s">
        <v>558</v>
      </c>
      <c r="H50" s="4">
        <v>1</v>
      </c>
      <c r="I50" s="4"/>
      <c r="J50" s="4"/>
      <c r="K50" s="4"/>
      <c r="L50" s="3">
        <f t="shared" si="0"/>
        <v>12</v>
      </c>
      <c r="M50" s="4"/>
      <c r="N50" s="4"/>
      <c r="O50" s="4"/>
      <c r="P50" s="4"/>
      <c r="Q50" s="4"/>
      <c r="R50" s="4"/>
      <c r="S50" s="3">
        <f t="shared" si="1"/>
        <v>0</v>
      </c>
      <c r="T50" s="5"/>
    </row>
    <row r="51" spans="1:20" ht="42.75" x14ac:dyDescent="0.25">
      <c r="A51" s="3" t="s">
        <v>227</v>
      </c>
      <c r="B51" s="3" t="s">
        <v>222</v>
      </c>
      <c r="C51" s="3">
        <v>3</v>
      </c>
      <c r="D51" s="3">
        <v>2</v>
      </c>
      <c r="E51" s="2" t="s">
        <v>354</v>
      </c>
      <c r="F51" s="3">
        <v>11</v>
      </c>
      <c r="G51" s="4" t="s">
        <v>558</v>
      </c>
      <c r="H51" s="4"/>
      <c r="I51" s="4"/>
      <c r="J51" s="4"/>
      <c r="K51" s="4">
        <v>1</v>
      </c>
      <c r="L51" s="3">
        <f t="shared" si="0"/>
        <v>10</v>
      </c>
      <c r="M51" s="4"/>
      <c r="N51" s="4"/>
      <c r="O51" s="4">
        <v>1</v>
      </c>
      <c r="P51" s="4"/>
      <c r="Q51" s="4"/>
      <c r="R51" s="4"/>
      <c r="S51" s="3">
        <f t="shared" si="1"/>
        <v>1</v>
      </c>
      <c r="T51" s="5"/>
    </row>
    <row r="52" spans="1:20" ht="28.5" x14ac:dyDescent="0.25">
      <c r="A52" s="3" t="s">
        <v>227</v>
      </c>
      <c r="B52" s="3" t="s">
        <v>222</v>
      </c>
      <c r="C52" s="3">
        <v>3</v>
      </c>
      <c r="D52" s="3">
        <v>3</v>
      </c>
      <c r="E52" s="2" t="s">
        <v>355</v>
      </c>
      <c r="F52" s="3">
        <v>10</v>
      </c>
      <c r="G52" s="4" t="s">
        <v>558</v>
      </c>
      <c r="H52" s="4"/>
      <c r="I52" s="4">
        <v>1</v>
      </c>
      <c r="J52" s="4">
        <v>2</v>
      </c>
      <c r="K52" s="4"/>
      <c r="L52" s="3">
        <f t="shared" si="0"/>
        <v>7</v>
      </c>
      <c r="M52" s="4"/>
      <c r="N52" s="4"/>
      <c r="O52" s="4"/>
      <c r="P52" s="4"/>
      <c r="Q52" s="4"/>
      <c r="R52" s="4"/>
      <c r="S52" s="3">
        <f t="shared" si="1"/>
        <v>0</v>
      </c>
      <c r="T52" s="5"/>
    </row>
    <row r="53" spans="1:20" ht="28.5" x14ac:dyDescent="0.25">
      <c r="A53" s="3" t="s">
        <v>229</v>
      </c>
      <c r="B53" s="3" t="s">
        <v>222</v>
      </c>
      <c r="C53" s="3">
        <v>4</v>
      </c>
      <c r="D53" s="3">
        <v>1</v>
      </c>
      <c r="E53" s="2" t="s">
        <v>356</v>
      </c>
      <c r="F53" s="3">
        <v>3</v>
      </c>
      <c r="G53" s="4" t="s">
        <v>558</v>
      </c>
      <c r="H53" s="4"/>
      <c r="I53" s="4">
        <v>2</v>
      </c>
      <c r="J53" s="4"/>
      <c r="K53" s="4"/>
      <c r="L53" s="3">
        <f t="shared" si="0"/>
        <v>1</v>
      </c>
      <c r="M53" s="4"/>
      <c r="N53" s="4"/>
      <c r="O53" s="4"/>
      <c r="P53" s="4"/>
      <c r="Q53" s="4"/>
      <c r="R53" s="4"/>
      <c r="S53" s="3">
        <f t="shared" si="1"/>
        <v>0</v>
      </c>
      <c r="T53" s="5"/>
    </row>
    <row r="54" spans="1:20" ht="28.5" x14ac:dyDescent="0.25">
      <c r="A54" s="3" t="s">
        <v>229</v>
      </c>
      <c r="B54" s="3" t="s">
        <v>222</v>
      </c>
      <c r="C54" s="3">
        <v>4</v>
      </c>
      <c r="D54" s="3">
        <v>2</v>
      </c>
      <c r="E54" s="2" t="s">
        <v>357</v>
      </c>
      <c r="F54" s="3">
        <v>6</v>
      </c>
      <c r="G54" s="4" t="s">
        <v>558</v>
      </c>
      <c r="H54" s="4">
        <v>1</v>
      </c>
      <c r="I54" s="4"/>
      <c r="J54" s="4"/>
      <c r="K54" s="4"/>
      <c r="L54" s="3">
        <f t="shared" si="0"/>
        <v>5</v>
      </c>
      <c r="M54" s="4"/>
      <c r="N54" s="4"/>
      <c r="O54" s="4"/>
      <c r="P54" s="4"/>
      <c r="Q54" s="4"/>
      <c r="R54" s="4"/>
      <c r="S54" s="3">
        <f t="shared" si="1"/>
        <v>0</v>
      </c>
      <c r="T54" s="5"/>
    </row>
    <row r="55" spans="1:20" x14ac:dyDescent="0.25">
      <c r="A55" s="3" t="s">
        <v>229</v>
      </c>
      <c r="B55" s="3" t="s">
        <v>222</v>
      </c>
      <c r="C55" s="3">
        <v>4</v>
      </c>
      <c r="D55" s="3">
        <v>3</v>
      </c>
      <c r="E55" s="2" t="s">
        <v>358</v>
      </c>
      <c r="F55" s="3">
        <v>2</v>
      </c>
      <c r="G55" s="4" t="s">
        <v>557</v>
      </c>
      <c r="H55" s="4"/>
      <c r="I55" s="4"/>
      <c r="J55" s="4"/>
      <c r="K55" s="4"/>
      <c r="L55" s="3">
        <f t="shared" si="0"/>
        <v>2</v>
      </c>
      <c r="M55" s="4"/>
      <c r="N55" s="4"/>
      <c r="O55" s="4"/>
      <c r="P55" s="4"/>
      <c r="Q55" s="4"/>
      <c r="R55" s="4"/>
      <c r="S55" s="3">
        <f t="shared" si="1"/>
        <v>0</v>
      </c>
      <c r="T55" s="5"/>
    </row>
    <row r="56" spans="1:20" ht="28.5" x14ac:dyDescent="0.25">
      <c r="A56" s="3" t="s">
        <v>231</v>
      </c>
      <c r="B56" s="3" t="s">
        <v>222</v>
      </c>
      <c r="C56" s="3">
        <v>5</v>
      </c>
      <c r="D56" s="3">
        <v>1</v>
      </c>
      <c r="E56" s="2" t="s">
        <v>359</v>
      </c>
      <c r="F56" s="3">
        <v>5</v>
      </c>
      <c r="G56" s="4" t="s">
        <v>558</v>
      </c>
      <c r="H56" s="4">
        <v>1</v>
      </c>
      <c r="I56" s="4"/>
      <c r="J56" s="4"/>
      <c r="K56" s="4"/>
      <c r="L56" s="3">
        <f t="shared" si="0"/>
        <v>4</v>
      </c>
      <c r="M56" s="4"/>
      <c r="N56" s="4"/>
      <c r="O56" s="4"/>
      <c r="P56" s="4"/>
      <c r="Q56" s="4"/>
      <c r="R56" s="4"/>
      <c r="S56" s="3">
        <f t="shared" si="1"/>
        <v>0</v>
      </c>
      <c r="T56" s="5"/>
    </row>
    <row r="57" spans="1:20" ht="28.5" x14ac:dyDescent="0.25">
      <c r="A57" s="3" t="s">
        <v>231</v>
      </c>
      <c r="B57" s="3" t="s">
        <v>222</v>
      </c>
      <c r="C57" s="3">
        <v>5</v>
      </c>
      <c r="D57" s="3">
        <v>2</v>
      </c>
      <c r="E57" s="2" t="s">
        <v>360</v>
      </c>
      <c r="F57" s="3">
        <v>8</v>
      </c>
      <c r="G57" s="4" t="s">
        <v>558</v>
      </c>
      <c r="H57" s="4">
        <v>2</v>
      </c>
      <c r="I57" s="4"/>
      <c r="J57" s="4"/>
      <c r="K57" s="4">
        <v>1</v>
      </c>
      <c r="L57" s="3">
        <f t="shared" si="0"/>
        <v>5</v>
      </c>
      <c r="M57" s="4"/>
      <c r="N57" s="4">
        <v>1</v>
      </c>
      <c r="O57" s="4"/>
      <c r="P57" s="4"/>
      <c r="Q57" s="4"/>
      <c r="R57" s="4"/>
      <c r="S57" s="3">
        <f t="shared" si="1"/>
        <v>1</v>
      </c>
      <c r="T57" s="5"/>
    </row>
    <row r="58" spans="1:20" ht="28.5" x14ac:dyDescent="0.25">
      <c r="A58" s="3" t="s">
        <v>233</v>
      </c>
      <c r="B58" s="3" t="s">
        <v>234</v>
      </c>
      <c r="C58" s="3">
        <v>1</v>
      </c>
      <c r="D58" s="3">
        <v>1</v>
      </c>
      <c r="E58" s="2" t="s">
        <v>361</v>
      </c>
      <c r="F58" s="3">
        <v>3</v>
      </c>
      <c r="G58" s="4" t="s">
        <v>558</v>
      </c>
      <c r="H58" s="4"/>
      <c r="I58" s="4"/>
      <c r="J58" s="4"/>
      <c r="K58" s="4">
        <v>2</v>
      </c>
      <c r="L58" s="3">
        <f t="shared" si="0"/>
        <v>1</v>
      </c>
      <c r="M58" s="4"/>
      <c r="N58" s="4">
        <v>2</v>
      </c>
      <c r="O58" s="4"/>
      <c r="P58" s="4"/>
      <c r="Q58" s="4"/>
      <c r="R58" s="4"/>
      <c r="S58" s="3">
        <f t="shared" si="1"/>
        <v>2</v>
      </c>
      <c r="T58" s="5"/>
    </row>
    <row r="59" spans="1:20" ht="28.5" x14ac:dyDescent="0.25">
      <c r="A59" s="3" t="s">
        <v>233</v>
      </c>
      <c r="B59" s="3" t="s">
        <v>234</v>
      </c>
      <c r="C59" s="3">
        <v>1</v>
      </c>
      <c r="D59" s="3">
        <v>2</v>
      </c>
      <c r="E59" s="2" t="s">
        <v>362</v>
      </c>
      <c r="F59" s="3">
        <v>3</v>
      </c>
      <c r="G59" s="4" t="s">
        <v>559</v>
      </c>
      <c r="H59" s="4"/>
      <c r="I59" s="4">
        <v>1</v>
      </c>
      <c r="J59" s="4">
        <v>1</v>
      </c>
      <c r="K59" s="4"/>
      <c r="L59" s="3">
        <f t="shared" si="0"/>
        <v>1</v>
      </c>
      <c r="M59" s="4"/>
      <c r="N59" s="4"/>
      <c r="O59" s="4"/>
      <c r="P59" s="4"/>
      <c r="Q59" s="4"/>
      <c r="R59" s="4"/>
      <c r="S59" s="3">
        <f t="shared" si="1"/>
        <v>0</v>
      </c>
      <c r="T59" s="5"/>
    </row>
    <row r="60" spans="1:20" ht="28.5" x14ac:dyDescent="0.25">
      <c r="A60" s="3" t="s">
        <v>237</v>
      </c>
      <c r="B60" s="3" t="s">
        <v>234</v>
      </c>
      <c r="C60" s="3">
        <v>2</v>
      </c>
      <c r="D60" s="3">
        <v>1</v>
      </c>
      <c r="E60" s="2" t="s">
        <v>363</v>
      </c>
      <c r="F60" s="3">
        <v>4</v>
      </c>
      <c r="G60" s="4" t="s">
        <v>558</v>
      </c>
      <c r="H60" s="4">
        <v>1</v>
      </c>
      <c r="I60" s="4"/>
      <c r="J60" s="4"/>
      <c r="K60" s="4"/>
      <c r="L60" s="3">
        <f t="shared" si="0"/>
        <v>3</v>
      </c>
      <c r="M60" s="4"/>
      <c r="N60" s="4"/>
      <c r="O60" s="4"/>
      <c r="P60" s="4"/>
      <c r="Q60" s="4"/>
      <c r="R60" s="4"/>
      <c r="S60" s="3">
        <f t="shared" si="1"/>
        <v>0</v>
      </c>
      <c r="T60" s="5"/>
    </row>
    <row r="61" spans="1:20" ht="42.75" x14ac:dyDescent="0.25">
      <c r="A61" s="3" t="s">
        <v>237</v>
      </c>
      <c r="B61" s="3" t="s">
        <v>234</v>
      </c>
      <c r="C61" s="3">
        <v>2</v>
      </c>
      <c r="D61" s="3">
        <v>2</v>
      </c>
      <c r="E61" s="2" t="s">
        <v>364</v>
      </c>
      <c r="F61" s="3">
        <v>14</v>
      </c>
      <c r="G61" s="4" t="s">
        <v>558</v>
      </c>
      <c r="H61" s="4">
        <v>3</v>
      </c>
      <c r="I61" s="4"/>
      <c r="J61" s="4">
        <v>1</v>
      </c>
      <c r="K61" s="4"/>
      <c r="L61" s="3">
        <f t="shared" si="0"/>
        <v>10</v>
      </c>
      <c r="M61" s="4"/>
      <c r="N61" s="4"/>
      <c r="O61" s="4"/>
      <c r="P61" s="4"/>
      <c r="Q61" s="4"/>
      <c r="R61" s="4"/>
      <c r="S61" s="3">
        <f t="shared" si="1"/>
        <v>0</v>
      </c>
      <c r="T61" s="5"/>
    </row>
    <row r="62" spans="1:20" ht="28.5" x14ac:dyDescent="0.25">
      <c r="A62" s="3" t="s">
        <v>239</v>
      </c>
      <c r="B62" s="3" t="s">
        <v>234</v>
      </c>
      <c r="C62" s="3">
        <v>3</v>
      </c>
      <c r="D62" s="3">
        <v>1</v>
      </c>
      <c r="E62" s="2" t="s">
        <v>365</v>
      </c>
      <c r="F62" s="3">
        <v>2</v>
      </c>
      <c r="G62" s="4" t="s">
        <v>558</v>
      </c>
      <c r="H62" s="4">
        <v>1</v>
      </c>
      <c r="I62" s="4"/>
      <c r="J62" s="4"/>
      <c r="K62" s="4"/>
      <c r="L62" s="3">
        <f t="shared" si="0"/>
        <v>1</v>
      </c>
      <c r="M62" s="4"/>
      <c r="N62" s="4"/>
      <c r="O62" s="4"/>
      <c r="P62" s="4"/>
      <c r="Q62" s="4"/>
      <c r="R62" s="4"/>
      <c r="S62" s="3">
        <f t="shared" si="1"/>
        <v>0</v>
      </c>
      <c r="T62" s="5"/>
    </row>
    <row r="63" spans="1:20" ht="28.5" x14ac:dyDescent="0.25">
      <c r="A63" s="3" t="s">
        <v>239</v>
      </c>
      <c r="B63" s="3" t="s">
        <v>234</v>
      </c>
      <c r="C63" s="3">
        <v>3</v>
      </c>
      <c r="D63" s="3">
        <v>2</v>
      </c>
      <c r="E63" s="2" t="s">
        <v>366</v>
      </c>
      <c r="F63" s="3">
        <v>11</v>
      </c>
      <c r="G63" s="4" t="s">
        <v>558</v>
      </c>
      <c r="H63" s="4">
        <v>1</v>
      </c>
      <c r="I63" s="4"/>
      <c r="J63" s="4">
        <v>1</v>
      </c>
      <c r="K63" s="4"/>
      <c r="L63" s="3">
        <f t="shared" si="0"/>
        <v>9</v>
      </c>
      <c r="M63" s="4"/>
      <c r="N63" s="4"/>
      <c r="O63" s="4"/>
      <c r="P63" s="4"/>
      <c r="Q63" s="4"/>
      <c r="R63" s="4"/>
      <c r="S63" s="3">
        <f t="shared" si="1"/>
        <v>0</v>
      </c>
      <c r="T63" s="5"/>
    </row>
    <row r="64" spans="1:20" ht="28.5" x14ac:dyDescent="0.25">
      <c r="A64" s="3" t="s">
        <v>241</v>
      </c>
      <c r="B64" s="3" t="s">
        <v>234</v>
      </c>
      <c r="C64" s="3">
        <v>4</v>
      </c>
      <c r="D64" s="3">
        <v>1</v>
      </c>
      <c r="E64" s="2" t="s">
        <v>367</v>
      </c>
      <c r="F64" s="3">
        <v>2</v>
      </c>
      <c r="G64" s="4" t="s">
        <v>558</v>
      </c>
      <c r="H64" s="4">
        <v>1</v>
      </c>
      <c r="I64" s="4"/>
      <c r="J64" s="4"/>
      <c r="K64" s="4"/>
      <c r="L64" s="3">
        <f t="shared" si="0"/>
        <v>1</v>
      </c>
      <c r="M64" s="4"/>
      <c r="N64" s="4"/>
      <c r="O64" s="4"/>
      <c r="P64" s="4"/>
      <c r="Q64" s="4"/>
      <c r="R64" s="4"/>
      <c r="S64" s="3">
        <f t="shared" si="1"/>
        <v>0</v>
      </c>
      <c r="T64" s="5"/>
    </row>
    <row r="65" spans="1:20" ht="28.5" x14ac:dyDescent="0.25">
      <c r="A65" s="3" t="s">
        <v>241</v>
      </c>
      <c r="B65" s="3" t="s">
        <v>234</v>
      </c>
      <c r="C65" s="3">
        <v>4</v>
      </c>
      <c r="D65" s="3">
        <v>2</v>
      </c>
      <c r="E65" s="2" t="s">
        <v>368</v>
      </c>
      <c r="F65" s="3">
        <v>4</v>
      </c>
      <c r="G65" s="4" t="s">
        <v>558</v>
      </c>
      <c r="H65" s="4">
        <v>3</v>
      </c>
      <c r="I65" s="4"/>
      <c r="J65" s="4"/>
      <c r="K65" s="4"/>
      <c r="L65" s="3">
        <f t="shared" si="0"/>
        <v>1</v>
      </c>
      <c r="M65" s="4"/>
      <c r="N65" s="4"/>
      <c r="O65" s="4"/>
      <c r="P65" s="4"/>
      <c r="Q65" s="4"/>
      <c r="R65" s="4"/>
      <c r="S65" s="3">
        <f t="shared" si="1"/>
        <v>0</v>
      </c>
      <c r="T65" s="5"/>
    </row>
    <row r="66" spans="1:20" ht="28.5" x14ac:dyDescent="0.25">
      <c r="A66" s="3" t="s">
        <v>243</v>
      </c>
      <c r="B66" s="3" t="s">
        <v>234</v>
      </c>
      <c r="C66" s="3">
        <v>5</v>
      </c>
      <c r="D66" s="3">
        <v>1</v>
      </c>
      <c r="E66" s="2" t="s">
        <v>369</v>
      </c>
      <c r="F66" s="3">
        <v>2</v>
      </c>
      <c r="G66" s="4" t="s">
        <v>558</v>
      </c>
      <c r="H66" s="4">
        <v>1</v>
      </c>
      <c r="I66" s="4"/>
      <c r="J66" s="4"/>
      <c r="K66" s="4"/>
      <c r="L66" s="3">
        <f t="shared" ref="L66:L129" si="2">F66-(H66+I66+J66+K66)</f>
        <v>1</v>
      </c>
      <c r="M66" s="4"/>
      <c r="N66" s="4"/>
      <c r="O66" s="4"/>
      <c r="P66" s="4"/>
      <c r="Q66" s="4"/>
      <c r="R66" s="4"/>
      <c r="S66" s="3">
        <f t="shared" ref="S66:S129" si="3">N66+O66+P66+Q66+R66</f>
        <v>0</v>
      </c>
      <c r="T66" s="5"/>
    </row>
    <row r="67" spans="1:20" ht="28.5" x14ac:dyDescent="0.25">
      <c r="A67" s="3" t="s">
        <v>243</v>
      </c>
      <c r="B67" s="3" t="s">
        <v>234</v>
      </c>
      <c r="C67" s="3">
        <v>5</v>
      </c>
      <c r="D67" s="3">
        <v>2</v>
      </c>
      <c r="E67" s="2" t="s">
        <v>370</v>
      </c>
      <c r="F67" s="3">
        <v>6</v>
      </c>
      <c r="G67" s="4" t="s">
        <v>558</v>
      </c>
      <c r="H67" s="4">
        <v>2</v>
      </c>
      <c r="I67" s="4">
        <v>1</v>
      </c>
      <c r="J67" s="4"/>
      <c r="K67" s="4"/>
      <c r="L67" s="3">
        <f t="shared" si="2"/>
        <v>3</v>
      </c>
      <c r="M67" s="4"/>
      <c r="N67" s="4"/>
      <c r="O67" s="4"/>
      <c r="P67" s="4"/>
      <c r="Q67" s="4"/>
      <c r="R67" s="4"/>
      <c r="S67" s="3">
        <f t="shared" si="3"/>
        <v>0</v>
      </c>
      <c r="T67" s="5"/>
    </row>
    <row r="68" spans="1:20" ht="28.5" x14ac:dyDescent="0.25">
      <c r="A68" s="3" t="s">
        <v>243</v>
      </c>
      <c r="B68" s="3" t="s">
        <v>234</v>
      </c>
      <c r="C68" s="3">
        <v>5</v>
      </c>
      <c r="D68" s="3">
        <v>3</v>
      </c>
      <c r="E68" s="2" t="s">
        <v>371</v>
      </c>
      <c r="F68" s="3">
        <v>1</v>
      </c>
      <c r="G68" s="4" t="s">
        <v>558</v>
      </c>
      <c r="H68" s="4">
        <v>1</v>
      </c>
      <c r="I68" s="4"/>
      <c r="J68" s="4"/>
      <c r="K68" s="4"/>
      <c r="L68" s="3">
        <f t="shared" si="2"/>
        <v>0</v>
      </c>
      <c r="M68" s="4"/>
      <c r="N68" s="4"/>
      <c r="O68" s="4"/>
      <c r="P68" s="4"/>
      <c r="Q68" s="4"/>
      <c r="R68" s="4"/>
      <c r="S68" s="3">
        <f t="shared" si="3"/>
        <v>0</v>
      </c>
      <c r="T68" s="5"/>
    </row>
    <row r="69" spans="1:20" ht="28.5" x14ac:dyDescent="0.25">
      <c r="A69" s="3" t="s">
        <v>245</v>
      </c>
      <c r="B69" s="3" t="s">
        <v>246</v>
      </c>
      <c r="C69" s="3">
        <v>1</v>
      </c>
      <c r="D69" s="3">
        <v>1</v>
      </c>
      <c r="E69" s="2" t="s">
        <v>372</v>
      </c>
      <c r="F69" s="3">
        <v>1</v>
      </c>
      <c r="G69" s="4" t="s">
        <v>558</v>
      </c>
      <c r="H69" s="4"/>
      <c r="I69" s="4"/>
      <c r="J69" s="4"/>
      <c r="K69" s="4">
        <v>1</v>
      </c>
      <c r="L69" s="3">
        <f t="shared" si="2"/>
        <v>0</v>
      </c>
      <c r="M69" s="4"/>
      <c r="N69" s="4"/>
      <c r="O69" s="4">
        <v>1</v>
      </c>
      <c r="P69" s="4"/>
      <c r="Q69" s="4"/>
      <c r="R69" s="4"/>
      <c r="S69" s="3">
        <f t="shared" si="3"/>
        <v>1</v>
      </c>
      <c r="T69" s="5"/>
    </row>
    <row r="70" spans="1:20" ht="28.5" x14ac:dyDescent="0.25">
      <c r="A70" s="3" t="s">
        <v>245</v>
      </c>
      <c r="B70" s="3" t="s">
        <v>246</v>
      </c>
      <c r="C70" s="3">
        <v>1</v>
      </c>
      <c r="D70" s="3">
        <v>2</v>
      </c>
      <c r="E70" s="2" t="s">
        <v>373</v>
      </c>
      <c r="F70" s="3">
        <v>4</v>
      </c>
      <c r="G70" s="4" t="s">
        <v>558</v>
      </c>
      <c r="H70" s="4"/>
      <c r="I70" s="4"/>
      <c r="J70" s="4"/>
      <c r="K70" s="4">
        <v>4</v>
      </c>
      <c r="L70" s="3">
        <f t="shared" si="2"/>
        <v>0</v>
      </c>
      <c r="M70" s="4"/>
      <c r="N70" s="4"/>
      <c r="O70" s="4">
        <v>4</v>
      </c>
      <c r="P70" s="4"/>
      <c r="Q70" s="4"/>
      <c r="R70" s="4"/>
      <c r="S70" s="3">
        <f t="shared" si="3"/>
        <v>4</v>
      </c>
      <c r="T70" s="5"/>
    </row>
    <row r="71" spans="1:20" x14ac:dyDescent="0.25">
      <c r="A71" s="3" t="s">
        <v>245</v>
      </c>
      <c r="B71" s="3" t="s">
        <v>246</v>
      </c>
      <c r="C71" s="3">
        <v>1</v>
      </c>
      <c r="D71" s="3">
        <v>3</v>
      </c>
      <c r="E71" s="2" t="s">
        <v>374</v>
      </c>
      <c r="F71" s="3">
        <v>4</v>
      </c>
      <c r="G71" s="4" t="s">
        <v>557</v>
      </c>
      <c r="H71" s="4"/>
      <c r="I71" s="4"/>
      <c r="J71" s="4"/>
      <c r="K71" s="4"/>
      <c r="L71" s="3">
        <f t="shared" si="2"/>
        <v>4</v>
      </c>
      <c r="M71" s="4"/>
      <c r="N71" s="4"/>
      <c r="O71" s="4"/>
      <c r="P71" s="4"/>
      <c r="Q71" s="4"/>
      <c r="R71" s="4"/>
      <c r="S71" s="3">
        <f t="shared" si="3"/>
        <v>0</v>
      </c>
      <c r="T71" s="5"/>
    </row>
    <row r="72" spans="1:20" ht="28.5" x14ac:dyDescent="0.25">
      <c r="A72" s="3" t="s">
        <v>245</v>
      </c>
      <c r="B72" s="3" t="s">
        <v>246</v>
      </c>
      <c r="C72" s="3">
        <v>1</v>
      </c>
      <c r="D72" s="3">
        <v>4</v>
      </c>
      <c r="E72" s="2" t="s">
        <v>375</v>
      </c>
      <c r="F72" s="3">
        <v>8</v>
      </c>
      <c r="G72" s="4" t="s">
        <v>558</v>
      </c>
      <c r="H72" s="4"/>
      <c r="I72" s="4">
        <v>8</v>
      </c>
      <c r="J72" s="4"/>
      <c r="K72" s="4"/>
      <c r="L72" s="3">
        <f t="shared" si="2"/>
        <v>0</v>
      </c>
      <c r="M72" s="4"/>
      <c r="N72" s="4"/>
      <c r="O72" s="4"/>
      <c r="P72" s="4"/>
      <c r="Q72" s="4"/>
      <c r="R72" s="4"/>
      <c r="S72" s="3">
        <f t="shared" si="3"/>
        <v>0</v>
      </c>
      <c r="T72" s="5" t="s">
        <v>560</v>
      </c>
    </row>
    <row r="73" spans="1:20" x14ac:dyDescent="0.25">
      <c r="A73" s="3" t="s">
        <v>245</v>
      </c>
      <c r="B73" s="3" t="s">
        <v>246</v>
      </c>
      <c r="C73" s="3">
        <v>1</v>
      </c>
      <c r="D73" s="3">
        <v>5</v>
      </c>
      <c r="E73" s="2" t="s">
        <v>376</v>
      </c>
      <c r="F73" s="3">
        <v>5</v>
      </c>
      <c r="G73" s="4" t="s">
        <v>557</v>
      </c>
      <c r="H73" s="4"/>
      <c r="I73" s="4"/>
      <c r="J73" s="4"/>
      <c r="K73" s="4"/>
      <c r="L73" s="3">
        <f t="shared" si="2"/>
        <v>5</v>
      </c>
      <c r="M73" s="4"/>
      <c r="N73" s="4"/>
      <c r="O73" s="4"/>
      <c r="P73" s="4"/>
      <c r="Q73" s="4"/>
      <c r="R73" s="4"/>
      <c r="S73" s="3">
        <f t="shared" si="3"/>
        <v>0</v>
      </c>
      <c r="T73" s="5"/>
    </row>
    <row r="74" spans="1:20" x14ac:dyDescent="0.25">
      <c r="A74" s="3" t="s">
        <v>245</v>
      </c>
      <c r="B74" s="3" t="s">
        <v>246</v>
      </c>
      <c r="C74" s="3">
        <v>1</v>
      </c>
      <c r="D74" s="3">
        <v>6</v>
      </c>
      <c r="E74" s="2" t="s">
        <v>377</v>
      </c>
      <c r="F74" s="3">
        <v>4</v>
      </c>
      <c r="G74" s="4" t="s">
        <v>557</v>
      </c>
      <c r="H74" s="4"/>
      <c r="I74" s="4"/>
      <c r="J74" s="4"/>
      <c r="K74" s="4"/>
      <c r="L74" s="3">
        <f t="shared" si="2"/>
        <v>4</v>
      </c>
      <c r="M74" s="4"/>
      <c r="N74" s="4"/>
      <c r="O74" s="4"/>
      <c r="P74" s="4"/>
      <c r="Q74" s="4"/>
      <c r="R74" s="4"/>
      <c r="S74" s="3">
        <f t="shared" si="3"/>
        <v>0</v>
      </c>
      <c r="T74" s="5"/>
    </row>
    <row r="75" spans="1:20" ht="28.5" x14ac:dyDescent="0.25">
      <c r="A75" s="3" t="s">
        <v>245</v>
      </c>
      <c r="B75" s="3" t="s">
        <v>246</v>
      </c>
      <c r="C75" s="3">
        <v>1</v>
      </c>
      <c r="D75" s="3">
        <v>7</v>
      </c>
      <c r="E75" s="2" t="s">
        <v>378</v>
      </c>
      <c r="F75" s="3">
        <v>2</v>
      </c>
      <c r="G75" s="4" t="s">
        <v>558</v>
      </c>
      <c r="H75" s="4"/>
      <c r="I75" s="4">
        <v>2</v>
      </c>
      <c r="J75" s="4"/>
      <c r="K75" s="4"/>
      <c r="L75" s="3">
        <f t="shared" si="2"/>
        <v>0</v>
      </c>
      <c r="M75" s="4"/>
      <c r="N75" s="4"/>
      <c r="O75" s="4"/>
      <c r="P75" s="4"/>
      <c r="Q75" s="4"/>
      <c r="R75" s="4"/>
      <c r="S75" s="3">
        <f t="shared" si="3"/>
        <v>0</v>
      </c>
      <c r="T75" s="5" t="s">
        <v>560</v>
      </c>
    </row>
    <row r="76" spans="1:20" x14ac:dyDescent="0.25">
      <c r="A76" s="3" t="s">
        <v>245</v>
      </c>
      <c r="B76" s="3" t="s">
        <v>246</v>
      </c>
      <c r="C76" s="3">
        <v>1</v>
      </c>
      <c r="D76" s="3">
        <v>8</v>
      </c>
      <c r="E76" s="2" t="s">
        <v>379</v>
      </c>
      <c r="F76" s="3">
        <v>3</v>
      </c>
      <c r="G76" s="4" t="s">
        <v>557</v>
      </c>
      <c r="H76" s="4"/>
      <c r="I76" s="4"/>
      <c r="J76" s="4"/>
      <c r="K76" s="4"/>
      <c r="L76" s="3">
        <f t="shared" si="2"/>
        <v>3</v>
      </c>
      <c r="M76" s="4"/>
      <c r="N76" s="4"/>
      <c r="O76" s="4"/>
      <c r="P76" s="4"/>
      <c r="Q76" s="4"/>
      <c r="R76" s="4"/>
      <c r="S76" s="3">
        <f t="shared" si="3"/>
        <v>0</v>
      </c>
      <c r="T76" s="5"/>
    </row>
    <row r="77" spans="1:20" ht="28.5" x14ac:dyDescent="0.25">
      <c r="A77" s="3" t="s">
        <v>245</v>
      </c>
      <c r="B77" s="3" t="s">
        <v>246</v>
      </c>
      <c r="C77" s="3">
        <v>1</v>
      </c>
      <c r="D77" s="3">
        <v>9</v>
      </c>
      <c r="E77" s="2" t="s">
        <v>380</v>
      </c>
      <c r="F77" s="3">
        <v>4</v>
      </c>
      <c r="G77" s="4" t="s">
        <v>558</v>
      </c>
      <c r="H77" s="4"/>
      <c r="I77" s="4">
        <v>4</v>
      </c>
      <c r="J77" s="4"/>
      <c r="K77" s="4"/>
      <c r="L77" s="3">
        <f t="shared" si="2"/>
        <v>0</v>
      </c>
      <c r="M77" s="4"/>
      <c r="N77" s="4"/>
      <c r="O77" s="4"/>
      <c r="P77" s="4"/>
      <c r="Q77" s="4"/>
      <c r="R77" s="4"/>
      <c r="S77" s="3">
        <f t="shared" si="3"/>
        <v>0</v>
      </c>
      <c r="T77" s="5" t="s">
        <v>560</v>
      </c>
    </row>
    <row r="78" spans="1:20" ht="28.5" x14ac:dyDescent="0.25">
      <c r="A78" s="3" t="s">
        <v>245</v>
      </c>
      <c r="B78" s="3" t="s">
        <v>246</v>
      </c>
      <c r="C78" s="3">
        <v>1</v>
      </c>
      <c r="D78" s="3">
        <v>10</v>
      </c>
      <c r="E78" s="2" t="s">
        <v>381</v>
      </c>
      <c r="F78" s="3">
        <v>4</v>
      </c>
      <c r="G78" s="4" t="s">
        <v>558</v>
      </c>
      <c r="H78" s="4"/>
      <c r="I78" s="4">
        <v>4</v>
      </c>
      <c r="J78" s="4"/>
      <c r="K78" s="4"/>
      <c r="L78" s="3">
        <f t="shared" si="2"/>
        <v>0</v>
      </c>
      <c r="M78" s="4"/>
      <c r="N78" s="4"/>
      <c r="O78" s="4"/>
      <c r="P78" s="4"/>
      <c r="Q78" s="4"/>
      <c r="R78" s="4"/>
      <c r="S78" s="3">
        <f t="shared" si="3"/>
        <v>0</v>
      </c>
      <c r="T78" s="5" t="s">
        <v>560</v>
      </c>
    </row>
    <row r="79" spans="1:20" ht="28.5" x14ac:dyDescent="0.25">
      <c r="A79" s="3" t="s">
        <v>245</v>
      </c>
      <c r="B79" s="3" t="s">
        <v>246</v>
      </c>
      <c r="C79" s="3">
        <v>1</v>
      </c>
      <c r="D79" s="3">
        <v>11</v>
      </c>
      <c r="E79" s="2" t="s">
        <v>382</v>
      </c>
      <c r="F79" s="3">
        <v>9</v>
      </c>
      <c r="G79" s="4" t="s">
        <v>557</v>
      </c>
      <c r="H79" s="4"/>
      <c r="I79" s="4"/>
      <c r="J79" s="4"/>
      <c r="K79" s="4"/>
      <c r="L79" s="3">
        <f t="shared" si="2"/>
        <v>9</v>
      </c>
      <c r="M79" s="4"/>
      <c r="N79" s="4"/>
      <c r="O79" s="4"/>
      <c r="P79" s="4"/>
      <c r="Q79" s="4"/>
      <c r="R79" s="4"/>
      <c r="S79" s="3">
        <f t="shared" si="3"/>
        <v>0</v>
      </c>
      <c r="T79" s="5"/>
    </row>
    <row r="80" spans="1:20" ht="42.75" x14ac:dyDescent="0.25">
      <c r="A80" s="3" t="s">
        <v>245</v>
      </c>
      <c r="B80" s="3" t="s">
        <v>246</v>
      </c>
      <c r="C80" s="3">
        <v>1</v>
      </c>
      <c r="D80" s="3">
        <v>12</v>
      </c>
      <c r="E80" s="2" t="s">
        <v>383</v>
      </c>
      <c r="F80" s="3">
        <v>9</v>
      </c>
      <c r="G80" s="4" t="s">
        <v>558</v>
      </c>
      <c r="H80" s="4"/>
      <c r="I80" s="4">
        <v>5</v>
      </c>
      <c r="J80" s="4"/>
      <c r="K80" s="4"/>
      <c r="L80" s="3">
        <f t="shared" si="2"/>
        <v>4</v>
      </c>
      <c r="M80" s="4"/>
      <c r="N80" s="4"/>
      <c r="O80" s="4"/>
      <c r="P80" s="4"/>
      <c r="Q80" s="4"/>
      <c r="R80" s="4"/>
      <c r="S80" s="3">
        <f t="shared" si="3"/>
        <v>0</v>
      </c>
      <c r="T80" s="5" t="s">
        <v>561</v>
      </c>
    </row>
    <row r="81" spans="1:20" ht="42.75" x14ac:dyDescent="0.25">
      <c r="A81" s="3" t="s">
        <v>245</v>
      </c>
      <c r="B81" s="3" t="s">
        <v>246</v>
      </c>
      <c r="C81" s="3">
        <v>1</v>
      </c>
      <c r="D81" s="3">
        <v>13</v>
      </c>
      <c r="E81" s="2" t="s">
        <v>384</v>
      </c>
      <c r="F81" s="3">
        <v>15</v>
      </c>
      <c r="G81" s="4" t="s">
        <v>557</v>
      </c>
      <c r="H81" s="4"/>
      <c r="I81" s="4"/>
      <c r="J81" s="4"/>
      <c r="K81" s="4"/>
      <c r="L81" s="3">
        <f t="shared" si="2"/>
        <v>15</v>
      </c>
      <c r="M81" s="4"/>
      <c r="N81" s="4"/>
      <c r="O81" s="4"/>
      <c r="P81" s="4"/>
      <c r="Q81" s="4"/>
      <c r="R81" s="4"/>
      <c r="S81" s="3">
        <f t="shared" si="3"/>
        <v>0</v>
      </c>
      <c r="T81" s="5"/>
    </row>
    <row r="82" spans="1:20" x14ac:dyDescent="0.25">
      <c r="A82" s="3" t="s">
        <v>249</v>
      </c>
      <c r="B82" s="3" t="s">
        <v>246</v>
      </c>
      <c r="C82" s="3">
        <v>2</v>
      </c>
      <c r="D82" s="3">
        <v>1</v>
      </c>
      <c r="E82" s="2" t="s">
        <v>385</v>
      </c>
      <c r="F82" s="3">
        <v>2</v>
      </c>
      <c r="G82" s="4" t="s">
        <v>557</v>
      </c>
      <c r="H82" s="4"/>
      <c r="I82" s="4"/>
      <c r="J82" s="4"/>
      <c r="K82" s="4"/>
      <c r="L82" s="3">
        <f t="shared" si="2"/>
        <v>2</v>
      </c>
      <c r="M82" s="4"/>
      <c r="N82" s="4"/>
      <c r="O82" s="4"/>
      <c r="P82" s="4"/>
      <c r="Q82" s="4"/>
      <c r="R82" s="4"/>
      <c r="S82" s="3">
        <f t="shared" si="3"/>
        <v>0</v>
      </c>
      <c r="T82" s="5"/>
    </row>
    <row r="83" spans="1:20" x14ac:dyDescent="0.25">
      <c r="A83" s="3" t="s">
        <v>249</v>
      </c>
      <c r="B83" s="3" t="s">
        <v>246</v>
      </c>
      <c r="C83" s="3">
        <v>2</v>
      </c>
      <c r="D83" s="3">
        <v>2</v>
      </c>
      <c r="E83" s="2" t="s">
        <v>386</v>
      </c>
      <c r="F83" s="3">
        <v>2</v>
      </c>
      <c r="G83" s="4" t="s">
        <v>557</v>
      </c>
      <c r="H83" s="4"/>
      <c r="I83" s="4"/>
      <c r="J83" s="4"/>
      <c r="K83" s="4"/>
      <c r="L83" s="3">
        <f t="shared" si="2"/>
        <v>2</v>
      </c>
      <c r="M83" s="4"/>
      <c r="N83" s="4"/>
      <c r="O83" s="4"/>
      <c r="P83" s="4"/>
      <c r="Q83" s="4"/>
      <c r="R83" s="4"/>
      <c r="S83" s="3">
        <f t="shared" si="3"/>
        <v>0</v>
      </c>
      <c r="T83" s="5"/>
    </row>
    <row r="84" spans="1:20" x14ac:dyDescent="0.25">
      <c r="A84" s="3" t="s">
        <v>249</v>
      </c>
      <c r="B84" s="3" t="s">
        <v>246</v>
      </c>
      <c r="C84" s="3">
        <v>2</v>
      </c>
      <c r="D84" s="3">
        <v>3</v>
      </c>
      <c r="E84" s="2" t="s">
        <v>387</v>
      </c>
      <c r="F84" s="3">
        <v>4</v>
      </c>
      <c r="G84" s="4" t="s">
        <v>557</v>
      </c>
      <c r="H84" s="4"/>
      <c r="I84" s="4"/>
      <c r="J84" s="4"/>
      <c r="K84" s="4"/>
      <c r="L84" s="3">
        <f t="shared" si="2"/>
        <v>4</v>
      </c>
      <c r="M84" s="4"/>
      <c r="N84" s="4"/>
      <c r="O84" s="4"/>
      <c r="P84" s="4"/>
      <c r="Q84" s="4"/>
      <c r="R84" s="4"/>
      <c r="S84" s="3">
        <f t="shared" si="3"/>
        <v>0</v>
      </c>
      <c r="T84" s="5"/>
    </row>
    <row r="85" spans="1:20" x14ac:dyDescent="0.25">
      <c r="A85" s="3" t="s">
        <v>249</v>
      </c>
      <c r="B85" s="3" t="s">
        <v>246</v>
      </c>
      <c r="C85" s="3">
        <v>2</v>
      </c>
      <c r="D85" s="3">
        <v>4</v>
      </c>
      <c r="E85" s="2" t="s">
        <v>388</v>
      </c>
      <c r="F85" s="3">
        <v>6</v>
      </c>
      <c r="G85" s="4" t="s">
        <v>557</v>
      </c>
      <c r="H85" s="4"/>
      <c r="I85" s="4"/>
      <c r="J85" s="4"/>
      <c r="K85" s="4"/>
      <c r="L85" s="3">
        <f t="shared" si="2"/>
        <v>6</v>
      </c>
      <c r="M85" s="4"/>
      <c r="N85" s="4"/>
      <c r="O85" s="4"/>
      <c r="P85" s="4"/>
      <c r="Q85" s="4"/>
      <c r="R85" s="4"/>
      <c r="S85" s="3">
        <f t="shared" si="3"/>
        <v>0</v>
      </c>
      <c r="T85" s="5"/>
    </row>
    <row r="86" spans="1:20" x14ac:dyDescent="0.25">
      <c r="A86" s="3" t="s">
        <v>249</v>
      </c>
      <c r="B86" s="3" t="s">
        <v>246</v>
      </c>
      <c r="C86" s="3">
        <v>2</v>
      </c>
      <c r="D86" s="3">
        <v>5</v>
      </c>
      <c r="E86" s="2" t="s">
        <v>389</v>
      </c>
      <c r="F86" s="3">
        <v>5</v>
      </c>
      <c r="G86" s="4" t="s">
        <v>557</v>
      </c>
      <c r="H86" s="4"/>
      <c r="I86" s="4"/>
      <c r="J86" s="4"/>
      <c r="K86" s="4"/>
      <c r="L86" s="3">
        <f t="shared" si="2"/>
        <v>5</v>
      </c>
      <c r="M86" s="4"/>
      <c r="N86" s="4"/>
      <c r="O86" s="4"/>
      <c r="P86" s="4"/>
      <c r="Q86" s="4"/>
      <c r="R86" s="4"/>
      <c r="S86" s="3">
        <f t="shared" si="3"/>
        <v>0</v>
      </c>
      <c r="T86" s="5"/>
    </row>
    <row r="87" spans="1:20" x14ac:dyDescent="0.25">
      <c r="A87" s="3" t="s">
        <v>249</v>
      </c>
      <c r="B87" s="3" t="s">
        <v>246</v>
      </c>
      <c r="C87" s="3">
        <v>2</v>
      </c>
      <c r="D87" s="3">
        <v>6</v>
      </c>
      <c r="E87" s="2" t="s">
        <v>390</v>
      </c>
      <c r="F87" s="3">
        <v>5</v>
      </c>
      <c r="G87" s="4" t="s">
        <v>557</v>
      </c>
      <c r="H87" s="4"/>
      <c r="I87" s="4"/>
      <c r="J87" s="4"/>
      <c r="K87" s="4"/>
      <c r="L87" s="3">
        <f t="shared" si="2"/>
        <v>5</v>
      </c>
      <c r="M87" s="4"/>
      <c r="N87" s="4"/>
      <c r="O87" s="4"/>
      <c r="P87" s="4"/>
      <c r="Q87" s="4"/>
      <c r="R87" s="4"/>
      <c r="S87" s="3">
        <f t="shared" si="3"/>
        <v>0</v>
      </c>
      <c r="T87" s="5"/>
    </row>
    <row r="88" spans="1:20" x14ac:dyDescent="0.25">
      <c r="A88" s="3" t="s">
        <v>249</v>
      </c>
      <c r="B88" s="3" t="s">
        <v>246</v>
      </c>
      <c r="C88" s="3">
        <v>2</v>
      </c>
      <c r="D88" s="3">
        <v>7</v>
      </c>
      <c r="E88" s="2" t="s">
        <v>391</v>
      </c>
      <c r="F88" s="3">
        <v>2</v>
      </c>
      <c r="G88" s="4" t="s">
        <v>557</v>
      </c>
      <c r="H88" s="4"/>
      <c r="I88" s="4"/>
      <c r="J88" s="4"/>
      <c r="K88" s="4"/>
      <c r="L88" s="3">
        <f t="shared" si="2"/>
        <v>2</v>
      </c>
      <c r="M88" s="4"/>
      <c r="N88" s="4"/>
      <c r="O88" s="4"/>
      <c r="P88" s="4"/>
      <c r="Q88" s="4"/>
      <c r="R88" s="4"/>
      <c r="S88" s="3">
        <f t="shared" si="3"/>
        <v>0</v>
      </c>
      <c r="T88" s="5"/>
    </row>
    <row r="89" spans="1:20" x14ac:dyDescent="0.25">
      <c r="A89" s="3" t="s">
        <v>249</v>
      </c>
      <c r="B89" s="3" t="s">
        <v>246</v>
      </c>
      <c r="C89" s="3">
        <v>2</v>
      </c>
      <c r="D89" s="3">
        <v>8</v>
      </c>
      <c r="E89" s="2" t="s">
        <v>379</v>
      </c>
      <c r="F89" s="3">
        <v>3</v>
      </c>
      <c r="G89" s="4" t="s">
        <v>557</v>
      </c>
      <c r="H89" s="4"/>
      <c r="I89" s="4"/>
      <c r="J89" s="4"/>
      <c r="K89" s="4"/>
      <c r="L89" s="3">
        <f t="shared" si="2"/>
        <v>3</v>
      </c>
      <c r="M89" s="4"/>
      <c r="N89" s="4"/>
      <c r="O89" s="4"/>
      <c r="P89" s="4"/>
      <c r="Q89" s="4"/>
      <c r="R89" s="4"/>
      <c r="S89" s="3">
        <f t="shared" si="3"/>
        <v>0</v>
      </c>
      <c r="T89" s="5"/>
    </row>
    <row r="90" spans="1:20" x14ac:dyDescent="0.25">
      <c r="A90" s="3" t="s">
        <v>249</v>
      </c>
      <c r="B90" s="3" t="s">
        <v>246</v>
      </c>
      <c r="C90" s="3">
        <v>2</v>
      </c>
      <c r="D90" s="3">
        <v>9</v>
      </c>
      <c r="E90" s="2" t="s">
        <v>392</v>
      </c>
      <c r="F90" s="3">
        <v>5</v>
      </c>
      <c r="G90" s="4" t="s">
        <v>557</v>
      </c>
      <c r="H90" s="4"/>
      <c r="I90" s="4"/>
      <c r="J90" s="4"/>
      <c r="K90" s="4"/>
      <c r="L90" s="3">
        <f t="shared" si="2"/>
        <v>5</v>
      </c>
      <c r="M90" s="4"/>
      <c r="N90" s="4"/>
      <c r="O90" s="4"/>
      <c r="P90" s="4"/>
      <c r="Q90" s="4"/>
      <c r="R90" s="4"/>
      <c r="S90" s="3">
        <f t="shared" si="3"/>
        <v>0</v>
      </c>
      <c r="T90" s="5"/>
    </row>
    <row r="91" spans="1:20" x14ac:dyDescent="0.25">
      <c r="A91" s="3" t="s">
        <v>249</v>
      </c>
      <c r="B91" s="3" t="s">
        <v>246</v>
      </c>
      <c r="C91" s="3">
        <v>2</v>
      </c>
      <c r="D91" s="3">
        <v>10</v>
      </c>
      <c r="E91" s="2" t="s">
        <v>393</v>
      </c>
      <c r="F91" s="3">
        <v>3</v>
      </c>
      <c r="G91" s="4" t="s">
        <v>557</v>
      </c>
      <c r="H91" s="4"/>
      <c r="I91" s="4"/>
      <c r="J91" s="4"/>
      <c r="K91" s="4"/>
      <c r="L91" s="3">
        <f t="shared" si="2"/>
        <v>3</v>
      </c>
      <c r="M91" s="4"/>
      <c r="N91" s="4"/>
      <c r="O91" s="4"/>
      <c r="P91" s="4"/>
      <c r="Q91" s="4"/>
      <c r="R91" s="4"/>
      <c r="S91" s="3">
        <f t="shared" si="3"/>
        <v>0</v>
      </c>
      <c r="T91" s="5"/>
    </row>
    <row r="92" spans="1:20" x14ac:dyDescent="0.25">
      <c r="A92" s="3" t="s">
        <v>249</v>
      </c>
      <c r="B92" s="3" t="s">
        <v>246</v>
      </c>
      <c r="C92" s="3">
        <v>2</v>
      </c>
      <c r="D92" s="3">
        <v>11</v>
      </c>
      <c r="E92" s="2" t="s">
        <v>394</v>
      </c>
      <c r="F92" s="3">
        <v>8</v>
      </c>
      <c r="G92" s="4" t="s">
        <v>557</v>
      </c>
      <c r="H92" s="4"/>
      <c r="I92" s="4"/>
      <c r="J92" s="4"/>
      <c r="K92" s="4"/>
      <c r="L92" s="3">
        <f t="shared" si="2"/>
        <v>8</v>
      </c>
      <c r="M92" s="4"/>
      <c r="N92" s="4"/>
      <c r="O92" s="4"/>
      <c r="P92" s="4"/>
      <c r="Q92" s="4"/>
      <c r="R92" s="4"/>
      <c r="S92" s="3">
        <f t="shared" si="3"/>
        <v>0</v>
      </c>
      <c r="T92" s="5"/>
    </row>
    <row r="93" spans="1:20" ht="28.5" x14ac:dyDescent="0.25">
      <c r="A93" s="3" t="s">
        <v>249</v>
      </c>
      <c r="B93" s="3" t="s">
        <v>246</v>
      </c>
      <c r="C93" s="3">
        <v>2</v>
      </c>
      <c r="D93" s="3">
        <v>12</v>
      </c>
      <c r="E93" s="2" t="s">
        <v>395</v>
      </c>
      <c r="F93" s="3">
        <v>7</v>
      </c>
      <c r="G93" s="4" t="s">
        <v>557</v>
      </c>
      <c r="H93" s="4"/>
      <c r="I93" s="4"/>
      <c r="J93" s="4"/>
      <c r="K93" s="4"/>
      <c r="L93" s="3">
        <f t="shared" si="2"/>
        <v>7</v>
      </c>
      <c r="M93" s="4"/>
      <c r="N93" s="4"/>
      <c r="O93" s="4"/>
      <c r="P93" s="4"/>
      <c r="Q93" s="4"/>
      <c r="R93" s="4"/>
      <c r="S93" s="3">
        <f t="shared" si="3"/>
        <v>0</v>
      </c>
      <c r="T93" s="5"/>
    </row>
    <row r="94" spans="1:20" ht="28.5" x14ac:dyDescent="0.25">
      <c r="A94" s="3" t="s">
        <v>249</v>
      </c>
      <c r="B94" s="3" t="s">
        <v>246</v>
      </c>
      <c r="C94" s="3">
        <v>2</v>
      </c>
      <c r="D94" s="3">
        <v>13</v>
      </c>
      <c r="E94" s="2" t="s">
        <v>396</v>
      </c>
      <c r="F94" s="3">
        <v>14</v>
      </c>
      <c r="G94" s="4" t="s">
        <v>557</v>
      </c>
      <c r="H94" s="4"/>
      <c r="I94" s="4"/>
      <c r="J94" s="4"/>
      <c r="K94" s="4"/>
      <c r="L94" s="3">
        <f t="shared" si="2"/>
        <v>14</v>
      </c>
      <c r="M94" s="4"/>
      <c r="N94" s="4"/>
      <c r="O94" s="4"/>
      <c r="P94" s="4"/>
      <c r="Q94" s="4"/>
      <c r="R94" s="4"/>
      <c r="S94" s="3">
        <f t="shared" si="3"/>
        <v>0</v>
      </c>
      <c r="T94" s="5"/>
    </row>
    <row r="95" spans="1:20" ht="28.5" x14ac:dyDescent="0.25">
      <c r="A95" s="3" t="s">
        <v>249</v>
      </c>
      <c r="B95" s="3" t="s">
        <v>246</v>
      </c>
      <c r="C95" s="3">
        <v>2</v>
      </c>
      <c r="D95" s="3">
        <v>14</v>
      </c>
      <c r="E95" s="2" t="s">
        <v>397</v>
      </c>
      <c r="F95" s="3">
        <v>11</v>
      </c>
      <c r="G95" s="4" t="s">
        <v>558</v>
      </c>
      <c r="H95" s="4"/>
      <c r="I95" s="4"/>
      <c r="J95" s="4">
        <v>2</v>
      </c>
      <c r="K95" s="4"/>
      <c r="L95" s="3">
        <f t="shared" si="2"/>
        <v>9</v>
      </c>
      <c r="M95" s="4"/>
      <c r="N95" s="4"/>
      <c r="O95" s="4"/>
      <c r="P95" s="4"/>
      <c r="Q95" s="4"/>
      <c r="R95" s="4"/>
      <c r="S95" s="3">
        <f t="shared" si="3"/>
        <v>0</v>
      </c>
      <c r="T95" s="5"/>
    </row>
    <row r="96" spans="1:20" ht="28.5" x14ac:dyDescent="0.25">
      <c r="A96" s="3" t="s">
        <v>251</v>
      </c>
      <c r="B96" s="3" t="s">
        <v>246</v>
      </c>
      <c r="C96" s="3">
        <v>3</v>
      </c>
      <c r="D96" s="3">
        <v>1</v>
      </c>
      <c r="E96" s="2" t="s">
        <v>398</v>
      </c>
      <c r="F96" s="3">
        <v>4</v>
      </c>
      <c r="G96" s="4" t="s">
        <v>558</v>
      </c>
      <c r="H96" s="4">
        <v>1</v>
      </c>
      <c r="I96" s="4"/>
      <c r="J96" s="4"/>
      <c r="K96" s="4"/>
      <c r="L96" s="3">
        <f t="shared" si="2"/>
        <v>3</v>
      </c>
      <c r="M96" s="4"/>
      <c r="N96" s="4"/>
      <c r="O96" s="4"/>
      <c r="P96" s="4"/>
      <c r="Q96" s="4"/>
      <c r="R96" s="4"/>
      <c r="S96" s="3">
        <f t="shared" si="3"/>
        <v>0</v>
      </c>
      <c r="T96" s="5"/>
    </row>
    <row r="97" spans="1:20" x14ac:dyDescent="0.25">
      <c r="A97" s="3" t="s">
        <v>251</v>
      </c>
      <c r="B97" s="3" t="s">
        <v>246</v>
      </c>
      <c r="C97" s="3">
        <v>3</v>
      </c>
      <c r="D97" s="3">
        <v>2</v>
      </c>
      <c r="E97" s="2" t="s">
        <v>399</v>
      </c>
      <c r="F97" s="3">
        <v>4</v>
      </c>
      <c r="G97" s="4" t="s">
        <v>557</v>
      </c>
      <c r="H97" s="4"/>
      <c r="I97" s="4"/>
      <c r="J97" s="4"/>
      <c r="K97" s="4"/>
      <c r="L97" s="3">
        <f t="shared" si="2"/>
        <v>4</v>
      </c>
      <c r="M97" s="4"/>
      <c r="N97" s="4"/>
      <c r="O97" s="4"/>
      <c r="P97" s="4"/>
      <c r="Q97" s="4"/>
      <c r="R97" s="4"/>
      <c r="S97" s="3">
        <f t="shared" si="3"/>
        <v>0</v>
      </c>
      <c r="T97" s="5"/>
    </row>
    <row r="98" spans="1:20" x14ac:dyDescent="0.25">
      <c r="A98" s="3" t="s">
        <v>251</v>
      </c>
      <c r="B98" s="3" t="s">
        <v>246</v>
      </c>
      <c r="C98" s="3">
        <v>3</v>
      </c>
      <c r="D98" s="3">
        <v>3</v>
      </c>
      <c r="E98" s="2" t="s">
        <v>400</v>
      </c>
      <c r="F98" s="3">
        <v>4</v>
      </c>
      <c r="G98" s="4" t="s">
        <v>557</v>
      </c>
      <c r="H98" s="4"/>
      <c r="I98" s="4"/>
      <c r="J98" s="4"/>
      <c r="K98" s="4"/>
      <c r="L98" s="3">
        <f t="shared" si="2"/>
        <v>4</v>
      </c>
      <c r="M98" s="4"/>
      <c r="N98" s="4"/>
      <c r="O98" s="4"/>
      <c r="P98" s="4"/>
      <c r="Q98" s="4"/>
      <c r="R98" s="4"/>
      <c r="S98" s="3">
        <f t="shared" si="3"/>
        <v>0</v>
      </c>
      <c r="T98" s="5"/>
    </row>
    <row r="99" spans="1:20" x14ac:dyDescent="0.25">
      <c r="A99" s="3" t="s">
        <v>251</v>
      </c>
      <c r="B99" s="3" t="s">
        <v>246</v>
      </c>
      <c r="C99" s="3">
        <v>3</v>
      </c>
      <c r="D99" s="3">
        <v>4</v>
      </c>
      <c r="E99" s="2" t="s">
        <v>401</v>
      </c>
      <c r="F99" s="3">
        <v>5</v>
      </c>
      <c r="G99" s="4" t="s">
        <v>557</v>
      </c>
      <c r="H99" s="4"/>
      <c r="I99" s="4"/>
      <c r="J99" s="4"/>
      <c r="K99" s="4"/>
      <c r="L99" s="3">
        <f t="shared" si="2"/>
        <v>5</v>
      </c>
      <c r="M99" s="4"/>
      <c r="N99" s="4"/>
      <c r="O99" s="4"/>
      <c r="P99" s="4"/>
      <c r="Q99" s="4"/>
      <c r="R99" s="4"/>
      <c r="S99" s="3">
        <f t="shared" si="3"/>
        <v>0</v>
      </c>
      <c r="T99" s="5"/>
    </row>
    <row r="100" spans="1:20" x14ac:dyDescent="0.25">
      <c r="A100" s="3" t="s">
        <v>251</v>
      </c>
      <c r="B100" s="3" t="s">
        <v>246</v>
      </c>
      <c r="C100" s="3">
        <v>3</v>
      </c>
      <c r="D100" s="3">
        <v>5</v>
      </c>
      <c r="E100" s="2" t="s">
        <v>377</v>
      </c>
      <c r="F100" s="3">
        <v>4</v>
      </c>
      <c r="G100" s="4" t="s">
        <v>557</v>
      </c>
      <c r="H100" s="4"/>
      <c r="I100" s="4"/>
      <c r="J100" s="4"/>
      <c r="K100" s="4"/>
      <c r="L100" s="3">
        <f t="shared" si="2"/>
        <v>4</v>
      </c>
      <c r="M100" s="4"/>
      <c r="N100" s="4"/>
      <c r="O100" s="4"/>
      <c r="P100" s="4"/>
      <c r="Q100" s="4"/>
      <c r="R100" s="4"/>
      <c r="S100" s="3">
        <f t="shared" si="3"/>
        <v>0</v>
      </c>
      <c r="T100" s="5"/>
    </row>
    <row r="101" spans="1:20" x14ac:dyDescent="0.25">
      <c r="A101" s="3" t="s">
        <v>251</v>
      </c>
      <c r="B101" s="3" t="s">
        <v>246</v>
      </c>
      <c r="C101" s="3">
        <v>3</v>
      </c>
      <c r="D101" s="3">
        <v>6</v>
      </c>
      <c r="E101" s="2" t="s">
        <v>402</v>
      </c>
      <c r="F101" s="3">
        <v>2</v>
      </c>
      <c r="G101" s="4" t="s">
        <v>557</v>
      </c>
      <c r="H101" s="4"/>
      <c r="I101" s="4"/>
      <c r="J101" s="4"/>
      <c r="K101" s="4"/>
      <c r="L101" s="3">
        <f t="shared" si="2"/>
        <v>2</v>
      </c>
      <c r="M101" s="4"/>
      <c r="N101" s="4"/>
      <c r="O101" s="4"/>
      <c r="P101" s="4"/>
      <c r="Q101" s="4"/>
      <c r="R101" s="4"/>
      <c r="S101" s="3">
        <f t="shared" si="3"/>
        <v>0</v>
      </c>
      <c r="T101" s="5"/>
    </row>
    <row r="102" spans="1:20" x14ac:dyDescent="0.25">
      <c r="A102" s="3" t="s">
        <v>251</v>
      </c>
      <c r="B102" s="3" t="s">
        <v>246</v>
      </c>
      <c r="C102" s="3">
        <v>3</v>
      </c>
      <c r="D102" s="3">
        <v>7</v>
      </c>
      <c r="E102" s="2" t="s">
        <v>379</v>
      </c>
      <c r="F102" s="3">
        <v>3</v>
      </c>
      <c r="G102" s="4" t="s">
        <v>557</v>
      </c>
      <c r="H102" s="4"/>
      <c r="I102" s="4"/>
      <c r="J102" s="4"/>
      <c r="K102" s="4"/>
      <c r="L102" s="3">
        <f t="shared" si="2"/>
        <v>3</v>
      </c>
      <c r="M102" s="4"/>
      <c r="N102" s="4"/>
      <c r="O102" s="4"/>
      <c r="P102" s="4"/>
      <c r="Q102" s="4"/>
      <c r="R102" s="4"/>
      <c r="S102" s="3">
        <f t="shared" si="3"/>
        <v>0</v>
      </c>
      <c r="T102" s="5"/>
    </row>
    <row r="103" spans="1:20" x14ac:dyDescent="0.25">
      <c r="A103" s="3" t="s">
        <v>251</v>
      </c>
      <c r="B103" s="3" t="s">
        <v>246</v>
      </c>
      <c r="C103" s="3">
        <v>3</v>
      </c>
      <c r="D103" s="3">
        <v>8</v>
      </c>
      <c r="E103" s="2" t="s">
        <v>403</v>
      </c>
      <c r="F103" s="3">
        <v>4</v>
      </c>
      <c r="G103" s="4" t="s">
        <v>557</v>
      </c>
      <c r="H103" s="4"/>
      <c r="I103" s="4"/>
      <c r="J103" s="4"/>
      <c r="K103" s="4"/>
      <c r="L103" s="3">
        <f t="shared" si="2"/>
        <v>4</v>
      </c>
      <c r="M103" s="4"/>
      <c r="N103" s="4"/>
      <c r="O103" s="4"/>
      <c r="P103" s="4"/>
      <c r="Q103" s="4"/>
      <c r="R103" s="4"/>
      <c r="S103" s="3">
        <f t="shared" si="3"/>
        <v>0</v>
      </c>
      <c r="T103" s="5"/>
    </row>
    <row r="104" spans="1:20" x14ac:dyDescent="0.25">
      <c r="A104" s="3" t="s">
        <v>251</v>
      </c>
      <c r="B104" s="3" t="s">
        <v>246</v>
      </c>
      <c r="C104" s="3">
        <v>3</v>
      </c>
      <c r="D104" s="3">
        <v>9</v>
      </c>
      <c r="E104" s="2" t="s">
        <v>393</v>
      </c>
      <c r="F104" s="3">
        <v>3</v>
      </c>
      <c r="G104" s="4" t="s">
        <v>557</v>
      </c>
      <c r="H104" s="4"/>
      <c r="I104" s="4"/>
      <c r="J104" s="4"/>
      <c r="K104" s="4"/>
      <c r="L104" s="3">
        <f t="shared" si="2"/>
        <v>3</v>
      </c>
      <c r="M104" s="4"/>
      <c r="N104" s="4"/>
      <c r="O104" s="4"/>
      <c r="P104" s="4"/>
      <c r="Q104" s="4"/>
      <c r="R104" s="4"/>
      <c r="S104" s="3">
        <f t="shared" si="3"/>
        <v>0</v>
      </c>
      <c r="T104" s="5"/>
    </row>
    <row r="105" spans="1:20" x14ac:dyDescent="0.25">
      <c r="A105" s="3" t="s">
        <v>251</v>
      </c>
      <c r="B105" s="3" t="s">
        <v>246</v>
      </c>
      <c r="C105" s="3">
        <v>3</v>
      </c>
      <c r="D105" s="3">
        <v>10</v>
      </c>
      <c r="E105" s="2" t="s">
        <v>394</v>
      </c>
      <c r="F105" s="3">
        <v>8</v>
      </c>
      <c r="G105" s="4" t="s">
        <v>557</v>
      </c>
      <c r="H105" s="4"/>
      <c r="I105" s="4"/>
      <c r="J105" s="4"/>
      <c r="K105" s="4"/>
      <c r="L105" s="3">
        <f t="shared" si="2"/>
        <v>8</v>
      </c>
      <c r="M105" s="4"/>
      <c r="N105" s="4"/>
      <c r="O105" s="4"/>
      <c r="P105" s="4"/>
      <c r="Q105" s="4"/>
      <c r="R105" s="4"/>
      <c r="S105" s="3">
        <f t="shared" si="3"/>
        <v>0</v>
      </c>
      <c r="T105" s="5"/>
    </row>
    <row r="106" spans="1:20" ht="28.5" x14ac:dyDescent="0.25">
      <c r="A106" s="3" t="s">
        <v>251</v>
      </c>
      <c r="B106" s="3" t="s">
        <v>246</v>
      </c>
      <c r="C106" s="3">
        <v>3</v>
      </c>
      <c r="D106" s="3">
        <v>11</v>
      </c>
      <c r="E106" s="2" t="s">
        <v>404</v>
      </c>
      <c r="F106" s="3">
        <v>6</v>
      </c>
      <c r="G106" s="4" t="s">
        <v>557</v>
      </c>
      <c r="H106" s="4"/>
      <c r="I106" s="4"/>
      <c r="J106" s="4"/>
      <c r="K106" s="4"/>
      <c r="L106" s="3">
        <f t="shared" si="2"/>
        <v>6</v>
      </c>
      <c r="M106" s="4"/>
      <c r="N106" s="4"/>
      <c r="O106" s="4"/>
      <c r="P106" s="4"/>
      <c r="Q106" s="4"/>
      <c r="R106" s="4"/>
      <c r="S106" s="3">
        <f t="shared" si="3"/>
        <v>0</v>
      </c>
      <c r="T106" s="5"/>
    </row>
    <row r="107" spans="1:20" ht="42.75" x14ac:dyDescent="0.25">
      <c r="A107" s="3" t="s">
        <v>251</v>
      </c>
      <c r="B107" s="3" t="s">
        <v>246</v>
      </c>
      <c r="C107" s="3">
        <v>3</v>
      </c>
      <c r="D107" s="3">
        <v>12</v>
      </c>
      <c r="E107" s="2" t="s">
        <v>405</v>
      </c>
      <c r="F107" s="3">
        <v>16</v>
      </c>
      <c r="G107" s="4" t="s">
        <v>557</v>
      </c>
      <c r="H107" s="4"/>
      <c r="I107" s="4"/>
      <c r="J107" s="4"/>
      <c r="K107" s="4"/>
      <c r="L107" s="3">
        <f t="shared" si="2"/>
        <v>16</v>
      </c>
      <c r="M107" s="4"/>
      <c r="N107" s="4"/>
      <c r="O107" s="4"/>
      <c r="P107" s="4"/>
      <c r="Q107" s="4"/>
      <c r="R107" s="4"/>
      <c r="S107" s="3">
        <f t="shared" si="3"/>
        <v>0</v>
      </c>
      <c r="T107" s="5"/>
    </row>
    <row r="108" spans="1:20" ht="28.5" x14ac:dyDescent="0.25">
      <c r="A108" s="3" t="s">
        <v>253</v>
      </c>
      <c r="B108" s="3" t="s">
        <v>246</v>
      </c>
      <c r="C108" s="3">
        <v>4</v>
      </c>
      <c r="D108" s="3">
        <v>1</v>
      </c>
      <c r="E108" s="2" t="s">
        <v>406</v>
      </c>
      <c r="F108" s="3">
        <v>4</v>
      </c>
      <c r="G108" s="4" t="s">
        <v>558</v>
      </c>
      <c r="H108" s="4"/>
      <c r="I108" s="4">
        <v>1</v>
      </c>
      <c r="J108" s="4"/>
      <c r="K108" s="4"/>
      <c r="L108" s="3">
        <f t="shared" si="2"/>
        <v>3</v>
      </c>
      <c r="M108" s="4"/>
      <c r="N108" s="4"/>
      <c r="O108" s="4"/>
      <c r="P108" s="4"/>
      <c r="Q108" s="4"/>
      <c r="R108" s="4"/>
      <c r="S108" s="3">
        <f t="shared" si="3"/>
        <v>0</v>
      </c>
      <c r="T108" s="5"/>
    </row>
    <row r="109" spans="1:20" x14ac:dyDescent="0.25">
      <c r="A109" s="3" t="s">
        <v>253</v>
      </c>
      <c r="B109" s="3" t="s">
        <v>246</v>
      </c>
      <c r="C109" s="3">
        <v>4</v>
      </c>
      <c r="D109" s="3">
        <v>2</v>
      </c>
      <c r="E109" s="2" t="s">
        <v>399</v>
      </c>
      <c r="F109" s="3">
        <v>4</v>
      </c>
      <c r="G109" s="4" t="s">
        <v>557</v>
      </c>
      <c r="H109" s="4"/>
      <c r="I109" s="4"/>
      <c r="J109" s="4"/>
      <c r="K109" s="4"/>
      <c r="L109" s="3">
        <f t="shared" si="2"/>
        <v>4</v>
      </c>
      <c r="M109" s="4"/>
      <c r="N109" s="4"/>
      <c r="O109" s="4"/>
      <c r="P109" s="4"/>
      <c r="Q109" s="4"/>
      <c r="R109" s="4"/>
      <c r="S109" s="3">
        <f t="shared" si="3"/>
        <v>0</v>
      </c>
      <c r="T109" s="5"/>
    </row>
    <row r="110" spans="1:20" ht="42.75" x14ac:dyDescent="0.25">
      <c r="A110" s="3" t="s">
        <v>253</v>
      </c>
      <c r="B110" s="3" t="s">
        <v>246</v>
      </c>
      <c r="C110" s="3">
        <v>4</v>
      </c>
      <c r="D110" s="3">
        <v>3</v>
      </c>
      <c r="E110" s="2" t="s">
        <v>407</v>
      </c>
      <c r="F110" s="3">
        <v>4</v>
      </c>
      <c r="G110" s="4" t="s">
        <v>558</v>
      </c>
      <c r="H110" s="4"/>
      <c r="I110" s="4">
        <v>2</v>
      </c>
      <c r="J110" s="4"/>
      <c r="K110" s="4"/>
      <c r="L110" s="3">
        <f t="shared" si="2"/>
        <v>2</v>
      </c>
      <c r="M110" s="4"/>
      <c r="N110" s="4"/>
      <c r="O110" s="4"/>
      <c r="P110" s="4"/>
      <c r="Q110" s="4"/>
      <c r="R110" s="4"/>
      <c r="S110" s="3">
        <f t="shared" si="3"/>
        <v>0</v>
      </c>
      <c r="T110" s="5" t="s">
        <v>561</v>
      </c>
    </row>
    <row r="111" spans="1:20" x14ac:dyDescent="0.25">
      <c r="A111" s="3" t="s">
        <v>253</v>
      </c>
      <c r="B111" s="3" t="s">
        <v>246</v>
      </c>
      <c r="C111" s="3">
        <v>4</v>
      </c>
      <c r="D111" s="3">
        <v>4</v>
      </c>
      <c r="E111" s="2" t="s">
        <v>408</v>
      </c>
      <c r="F111" s="3">
        <v>4</v>
      </c>
      <c r="G111" s="4" t="s">
        <v>557</v>
      </c>
      <c r="H111" s="4"/>
      <c r="I111" s="4"/>
      <c r="J111" s="4"/>
      <c r="K111" s="4"/>
      <c r="L111" s="3">
        <f t="shared" si="2"/>
        <v>4</v>
      </c>
      <c r="M111" s="4"/>
      <c r="N111" s="4"/>
      <c r="O111" s="4"/>
      <c r="P111" s="4"/>
      <c r="Q111" s="4"/>
      <c r="R111" s="4"/>
      <c r="S111" s="3">
        <f t="shared" si="3"/>
        <v>0</v>
      </c>
      <c r="T111" s="5"/>
    </row>
    <row r="112" spans="1:20" x14ac:dyDescent="0.25">
      <c r="A112" s="3" t="s">
        <v>253</v>
      </c>
      <c r="B112" s="3" t="s">
        <v>246</v>
      </c>
      <c r="C112" s="3">
        <v>4</v>
      </c>
      <c r="D112" s="3">
        <v>5</v>
      </c>
      <c r="E112" s="2" t="s">
        <v>377</v>
      </c>
      <c r="F112" s="3">
        <v>4</v>
      </c>
      <c r="G112" s="4" t="s">
        <v>557</v>
      </c>
      <c r="H112" s="4"/>
      <c r="I112" s="4"/>
      <c r="J112" s="4"/>
      <c r="K112" s="4"/>
      <c r="L112" s="3">
        <f t="shared" si="2"/>
        <v>4</v>
      </c>
      <c r="M112" s="4"/>
      <c r="N112" s="4"/>
      <c r="O112" s="4"/>
      <c r="P112" s="4"/>
      <c r="Q112" s="4"/>
      <c r="R112" s="4"/>
      <c r="S112" s="3">
        <f t="shared" si="3"/>
        <v>0</v>
      </c>
      <c r="T112" s="5"/>
    </row>
    <row r="113" spans="1:20" ht="42.75" x14ac:dyDescent="0.25">
      <c r="A113" s="3" t="s">
        <v>253</v>
      </c>
      <c r="B113" s="3" t="s">
        <v>246</v>
      </c>
      <c r="C113" s="3">
        <v>4</v>
      </c>
      <c r="D113" s="3">
        <v>6</v>
      </c>
      <c r="E113" s="2" t="s">
        <v>409</v>
      </c>
      <c r="F113" s="3">
        <v>2</v>
      </c>
      <c r="G113" s="4" t="s">
        <v>558</v>
      </c>
      <c r="H113" s="4"/>
      <c r="I113" s="4">
        <v>1</v>
      </c>
      <c r="J113" s="4"/>
      <c r="K113" s="4"/>
      <c r="L113" s="3">
        <f t="shared" si="2"/>
        <v>1</v>
      </c>
      <c r="M113" s="4"/>
      <c r="N113" s="4"/>
      <c r="O113" s="4"/>
      <c r="P113" s="4"/>
      <c r="Q113" s="4"/>
      <c r="R113" s="4"/>
      <c r="S113" s="3">
        <f t="shared" si="3"/>
        <v>0</v>
      </c>
      <c r="T113" s="5" t="s">
        <v>561</v>
      </c>
    </row>
    <row r="114" spans="1:20" x14ac:dyDescent="0.25">
      <c r="A114" s="3" t="s">
        <v>253</v>
      </c>
      <c r="B114" s="3" t="s">
        <v>246</v>
      </c>
      <c r="C114" s="3">
        <v>4</v>
      </c>
      <c r="D114" s="3">
        <v>7</v>
      </c>
      <c r="E114" s="2" t="s">
        <v>379</v>
      </c>
      <c r="F114" s="3">
        <v>3</v>
      </c>
      <c r="G114" s="4" t="s">
        <v>557</v>
      </c>
      <c r="H114" s="4"/>
      <c r="I114" s="4"/>
      <c r="J114" s="4"/>
      <c r="K114" s="4"/>
      <c r="L114" s="3">
        <f t="shared" si="2"/>
        <v>3</v>
      </c>
      <c r="M114" s="4"/>
      <c r="N114" s="4"/>
      <c r="O114" s="4"/>
      <c r="P114" s="4"/>
      <c r="Q114" s="4"/>
      <c r="R114" s="4"/>
      <c r="S114" s="3">
        <f t="shared" si="3"/>
        <v>0</v>
      </c>
      <c r="T114" s="5"/>
    </row>
    <row r="115" spans="1:20" x14ac:dyDescent="0.25">
      <c r="A115" s="3" t="s">
        <v>253</v>
      </c>
      <c r="B115" s="3" t="s">
        <v>246</v>
      </c>
      <c r="C115" s="3">
        <v>4</v>
      </c>
      <c r="D115" s="3">
        <v>8</v>
      </c>
      <c r="E115" s="2" t="s">
        <v>410</v>
      </c>
      <c r="F115" s="3">
        <v>3</v>
      </c>
      <c r="G115" s="4" t="s">
        <v>557</v>
      </c>
      <c r="H115" s="4"/>
      <c r="I115" s="4"/>
      <c r="J115" s="4"/>
      <c r="K115" s="4"/>
      <c r="L115" s="3">
        <f t="shared" si="2"/>
        <v>3</v>
      </c>
      <c r="M115" s="4"/>
      <c r="N115" s="4"/>
      <c r="O115" s="4"/>
      <c r="P115" s="4"/>
      <c r="Q115" s="4"/>
      <c r="R115" s="4"/>
      <c r="S115" s="3">
        <f t="shared" si="3"/>
        <v>0</v>
      </c>
      <c r="T115" s="5"/>
    </row>
    <row r="116" spans="1:20" ht="42.75" x14ac:dyDescent="0.25">
      <c r="A116" s="3" t="s">
        <v>253</v>
      </c>
      <c r="B116" s="3" t="s">
        <v>246</v>
      </c>
      <c r="C116" s="3">
        <v>4</v>
      </c>
      <c r="D116" s="3">
        <v>9</v>
      </c>
      <c r="E116" s="2" t="s">
        <v>411</v>
      </c>
      <c r="F116" s="3">
        <v>4</v>
      </c>
      <c r="G116" s="4" t="s">
        <v>558</v>
      </c>
      <c r="H116" s="4"/>
      <c r="I116" s="4">
        <v>1</v>
      </c>
      <c r="J116" s="4"/>
      <c r="K116" s="4"/>
      <c r="L116" s="3">
        <f t="shared" si="2"/>
        <v>3</v>
      </c>
      <c r="M116" s="4"/>
      <c r="N116" s="4"/>
      <c r="O116" s="4"/>
      <c r="P116" s="4"/>
      <c r="Q116" s="4"/>
      <c r="R116" s="4"/>
      <c r="S116" s="3">
        <f t="shared" si="3"/>
        <v>0</v>
      </c>
      <c r="T116" s="5" t="s">
        <v>561</v>
      </c>
    </row>
    <row r="117" spans="1:20" x14ac:dyDescent="0.25">
      <c r="A117" s="3" t="s">
        <v>253</v>
      </c>
      <c r="B117" s="3" t="s">
        <v>246</v>
      </c>
      <c r="C117" s="3">
        <v>4</v>
      </c>
      <c r="D117" s="3">
        <v>10</v>
      </c>
      <c r="E117" s="2" t="s">
        <v>412</v>
      </c>
      <c r="F117" s="3">
        <v>8</v>
      </c>
      <c r="G117" s="4" t="s">
        <v>557</v>
      </c>
      <c r="H117" s="4"/>
      <c r="I117" s="4"/>
      <c r="J117" s="4"/>
      <c r="K117" s="4"/>
      <c r="L117" s="3">
        <f t="shared" si="2"/>
        <v>8</v>
      </c>
      <c r="M117" s="4"/>
      <c r="N117" s="4"/>
      <c r="O117" s="4"/>
      <c r="P117" s="4"/>
      <c r="Q117" s="4"/>
      <c r="R117" s="4"/>
      <c r="S117" s="3">
        <f t="shared" si="3"/>
        <v>0</v>
      </c>
      <c r="T117" s="5"/>
    </row>
    <row r="118" spans="1:20" ht="28.5" x14ac:dyDescent="0.25">
      <c r="A118" s="3" t="s">
        <v>253</v>
      </c>
      <c r="B118" s="3" t="s">
        <v>246</v>
      </c>
      <c r="C118" s="3">
        <v>4</v>
      </c>
      <c r="D118" s="3">
        <v>11</v>
      </c>
      <c r="E118" s="2" t="s">
        <v>413</v>
      </c>
      <c r="F118" s="3">
        <v>9</v>
      </c>
      <c r="G118" s="4" t="s">
        <v>557</v>
      </c>
      <c r="H118" s="4"/>
      <c r="I118" s="4"/>
      <c r="J118" s="4"/>
      <c r="K118" s="4"/>
      <c r="L118" s="3">
        <f t="shared" si="2"/>
        <v>9</v>
      </c>
      <c r="M118" s="4"/>
      <c r="N118" s="4"/>
      <c r="O118" s="4"/>
      <c r="P118" s="4"/>
      <c r="Q118" s="4"/>
      <c r="R118" s="4"/>
      <c r="S118" s="3">
        <f t="shared" si="3"/>
        <v>0</v>
      </c>
      <c r="T118" s="5"/>
    </row>
    <row r="119" spans="1:20" ht="28.5" x14ac:dyDescent="0.25">
      <c r="A119" s="3" t="s">
        <v>253</v>
      </c>
      <c r="B119" s="3" t="s">
        <v>246</v>
      </c>
      <c r="C119" s="3">
        <v>4</v>
      </c>
      <c r="D119" s="3">
        <v>12</v>
      </c>
      <c r="E119" s="2" t="s">
        <v>414</v>
      </c>
      <c r="F119" s="3">
        <v>15</v>
      </c>
      <c r="G119" s="4" t="s">
        <v>557</v>
      </c>
      <c r="H119" s="4"/>
      <c r="I119" s="4"/>
      <c r="J119" s="4"/>
      <c r="K119" s="4"/>
      <c r="L119" s="3">
        <f t="shared" si="2"/>
        <v>15</v>
      </c>
      <c r="M119" s="4"/>
      <c r="N119" s="4"/>
      <c r="O119" s="4"/>
      <c r="P119" s="4"/>
      <c r="Q119" s="4"/>
      <c r="R119" s="4"/>
      <c r="S119" s="3">
        <f t="shared" si="3"/>
        <v>0</v>
      </c>
      <c r="T119" s="5"/>
    </row>
    <row r="120" spans="1:20" x14ac:dyDescent="0.25">
      <c r="A120" s="3" t="s">
        <v>255</v>
      </c>
      <c r="B120" s="3" t="s">
        <v>246</v>
      </c>
      <c r="C120" s="3">
        <v>5</v>
      </c>
      <c r="D120" s="3">
        <v>1</v>
      </c>
      <c r="E120" s="2" t="s">
        <v>415</v>
      </c>
      <c r="F120" s="3">
        <v>2</v>
      </c>
      <c r="G120" s="4" t="s">
        <v>557</v>
      </c>
      <c r="H120" s="4"/>
      <c r="I120" s="4"/>
      <c r="J120" s="4"/>
      <c r="K120" s="4"/>
      <c r="L120" s="3">
        <f t="shared" si="2"/>
        <v>2</v>
      </c>
      <c r="M120" s="4"/>
      <c r="N120" s="4"/>
      <c r="O120" s="4"/>
      <c r="P120" s="4"/>
      <c r="Q120" s="4"/>
      <c r="R120" s="4"/>
      <c r="S120" s="3">
        <f t="shared" si="3"/>
        <v>0</v>
      </c>
      <c r="T120" s="5"/>
    </row>
    <row r="121" spans="1:20" x14ac:dyDescent="0.25">
      <c r="A121" s="3" t="s">
        <v>255</v>
      </c>
      <c r="B121" s="3" t="s">
        <v>246</v>
      </c>
      <c r="C121" s="3">
        <v>5</v>
      </c>
      <c r="D121" s="3">
        <v>2</v>
      </c>
      <c r="E121" s="2" t="s">
        <v>416</v>
      </c>
      <c r="F121" s="3">
        <v>4</v>
      </c>
      <c r="G121" s="4" t="s">
        <v>557</v>
      </c>
      <c r="H121" s="4"/>
      <c r="I121" s="4"/>
      <c r="J121" s="4"/>
      <c r="K121" s="4"/>
      <c r="L121" s="3">
        <f t="shared" si="2"/>
        <v>4</v>
      </c>
      <c r="M121" s="4"/>
      <c r="N121" s="4"/>
      <c r="O121" s="4"/>
      <c r="P121" s="4"/>
      <c r="Q121" s="4"/>
      <c r="R121" s="4"/>
      <c r="S121" s="3">
        <f t="shared" si="3"/>
        <v>0</v>
      </c>
      <c r="T121" s="5"/>
    </row>
    <row r="122" spans="1:20" x14ac:dyDescent="0.25">
      <c r="A122" s="3" t="s">
        <v>255</v>
      </c>
      <c r="B122" s="3" t="s">
        <v>246</v>
      </c>
      <c r="C122" s="3">
        <v>5</v>
      </c>
      <c r="D122" s="3">
        <v>3</v>
      </c>
      <c r="E122" s="2" t="s">
        <v>417</v>
      </c>
      <c r="F122" s="3">
        <v>5</v>
      </c>
      <c r="G122" s="4" t="s">
        <v>557</v>
      </c>
      <c r="H122" s="4"/>
      <c r="I122" s="4"/>
      <c r="J122" s="4"/>
      <c r="K122" s="4"/>
      <c r="L122" s="3">
        <f t="shared" si="2"/>
        <v>5</v>
      </c>
      <c r="M122" s="4"/>
      <c r="N122" s="4"/>
      <c r="O122" s="4"/>
      <c r="P122" s="4"/>
      <c r="Q122" s="4"/>
      <c r="R122" s="4"/>
      <c r="S122" s="3">
        <f t="shared" si="3"/>
        <v>0</v>
      </c>
      <c r="T122" s="5"/>
    </row>
    <row r="123" spans="1:20" x14ac:dyDescent="0.25">
      <c r="A123" s="3" t="s">
        <v>255</v>
      </c>
      <c r="B123" s="3" t="s">
        <v>246</v>
      </c>
      <c r="C123" s="3">
        <v>5</v>
      </c>
      <c r="D123" s="3">
        <v>4</v>
      </c>
      <c r="E123" s="2" t="s">
        <v>418</v>
      </c>
      <c r="F123" s="3">
        <v>4</v>
      </c>
      <c r="G123" s="4" t="s">
        <v>557</v>
      </c>
      <c r="H123" s="4"/>
      <c r="I123" s="4"/>
      <c r="J123" s="4"/>
      <c r="K123" s="4"/>
      <c r="L123" s="3">
        <f t="shared" si="2"/>
        <v>4</v>
      </c>
      <c r="M123" s="4"/>
      <c r="N123" s="4"/>
      <c r="O123" s="4"/>
      <c r="P123" s="4"/>
      <c r="Q123" s="4"/>
      <c r="R123" s="4"/>
      <c r="S123" s="3">
        <f t="shared" si="3"/>
        <v>0</v>
      </c>
      <c r="T123" s="5"/>
    </row>
    <row r="124" spans="1:20" x14ac:dyDescent="0.25">
      <c r="A124" s="3" t="s">
        <v>255</v>
      </c>
      <c r="B124" s="3" t="s">
        <v>246</v>
      </c>
      <c r="C124" s="3">
        <v>5</v>
      </c>
      <c r="D124" s="3">
        <v>5</v>
      </c>
      <c r="E124" s="2" t="s">
        <v>377</v>
      </c>
      <c r="F124" s="3">
        <v>4</v>
      </c>
      <c r="G124" s="4" t="s">
        <v>557</v>
      </c>
      <c r="H124" s="4"/>
      <c r="I124" s="4"/>
      <c r="J124" s="4"/>
      <c r="K124" s="4"/>
      <c r="L124" s="3">
        <f t="shared" si="2"/>
        <v>4</v>
      </c>
      <c r="M124" s="4"/>
      <c r="N124" s="4"/>
      <c r="O124" s="4"/>
      <c r="P124" s="4"/>
      <c r="Q124" s="4"/>
      <c r="R124" s="4"/>
      <c r="S124" s="3">
        <f t="shared" si="3"/>
        <v>0</v>
      </c>
      <c r="T124" s="5"/>
    </row>
    <row r="125" spans="1:20" x14ac:dyDescent="0.25">
      <c r="A125" s="3" t="s">
        <v>255</v>
      </c>
      <c r="B125" s="3" t="s">
        <v>246</v>
      </c>
      <c r="C125" s="3">
        <v>5</v>
      </c>
      <c r="D125" s="3">
        <v>6</v>
      </c>
      <c r="E125" s="2" t="s">
        <v>419</v>
      </c>
      <c r="F125" s="3">
        <v>2</v>
      </c>
      <c r="G125" s="4" t="s">
        <v>557</v>
      </c>
      <c r="H125" s="4"/>
      <c r="I125" s="4"/>
      <c r="J125" s="4"/>
      <c r="K125" s="4"/>
      <c r="L125" s="3">
        <f t="shared" si="2"/>
        <v>2</v>
      </c>
      <c r="M125" s="4"/>
      <c r="N125" s="4"/>
      <c r="O125" s="4"/>
      <c r="P125" s="4"/>
      <c r="Q125" s="4"/>
      <c r="R125" s="4"/>
      <c r="S125" s="3">
        <f t="shared" si="3"/>
        <v>0</v>
      </c>
      <c r="T125" s="5"/>
    </row>
    <row r="126" spans="1:20" x14ac:dyDescent="0.25">
      <c r="A126" s="3" t="s">
        <v>255</v>
      </c>
      <c r="B126" s="3" t="s">
        <v>246</v>
      </c>
      <c r="C126" s="3">
        <v>5</v>
      </c>
      <c r="D126" s="3">
        <v>7</v>
      </c>
      <c r="E126" s="2" t="s">
        <v>379</v>
      </c>
      <c r="F126" s="3">
        <v>3</v>
      </c>
      <c r="G126" s="4" t="s">
        <v>557</v>
      </c>
      <c r="H126" s="4"/>
      <c r="I126" s="4"/>
      <c r="J126" s="4"/>
      <c r="K126" s="4"/>
      <c r="L126" s="3">
        <f t="shared" si="2"/>
        <v>3</v>
      </c>
      <c r="M126" s="4"/>
      <c r="N126" s="4"/>
      <c r="O126" s="4"/>
      <c r="P126" s="4"/>
      <c r="Q126" s="4"/>
      <c r="R126" s="4"/>
      <c r="S126" s="3">
        <f t="shared" si="3"/>
        <v>0</v>
      </c>
      <c r="T126" s="5"/>
    </row>
    <row r="127" spans="1:20" x14ac:dyDescent="0.25">
      <c r="A127" s="3" t="s">
        <v>255</v>
      </c>
      <c r="B127" s="3" t="s">
        <v>246</v>
      </c>
      <c r="C127" s="3">
        <v>5</v>
      </c>
      <c r="D127" s="3">
        <v>8</v>
      </c>
      <c r="E127" s="2" t="s">
        <v>403</v>
      </c>
      <c r="F127" s="3">
        <v>4</v>
      </c>
      <c r="G127" s="4" t="s">
        <v>557</v>
      </c>
      <c r="H127" s="4"/>
      <c r="I127" s="4"/>
      <c r="J127" s="4"/>
      <c r="K127" s="4"/>
      <c r="L127" s="3">
        <f t="shared" si="2"/>
        <v>4</v>
      </c>
      <c r="M127" s="4"/>
      <c r="N127" s="4"/>
      <c r="O127" s="4"/>
      <c r="P127" s="4"/>
      <c r="Q127" s="4"/>
      <c r="R127" s="4"/>
      <c r="S127" s="3">
        <f t="shared" si="3"/>
        <v>0</v>
      </c>
      <c r="T127" s="5"/>
    </row>
    <row r="128" spans="1:20" x14ac:dyDescent="0.25">
      <c r="A128" s="3" t="s">
        <v>255</v>
      </c>
      <c r="B128" s="3" t="s">
        <v>246</v>
      </c>
      <c r="C128" s="3">
        <v>5</v>
      </c>
      <c r="D128" s="3">
        <v>9</v>
      </c>
      <c r="E128" s="2" t="s">
        <v>420</v>
      </c>
      <c r="F128" s="3">
        <v>4</v>
      </c>
      <c r="G128" s="4" t="s">
        <v>557</v>
      </c>
      <c r="H128" s="4"/>
      <c r="I128" s="4"/>
      <c r="J128" s="4"/>
      <c r="K128" s="4"/>
      <c r="L128" s="3">
        <f t="shared" si="2"/>
        <v>4</v>
      </c>
      <c r="M128" s="4"/>
      <c r="N128" s="4"/>
      <c r="O128" s="4"/>
      <c r="P128" s="4"/>
      <c r="Q128" s="4"/>
      <c r="R128" s="4"/>
      <c r="S128" s="3">
        <f t="shared" si="3"/>
        <v>0</v>
      </c>
      <c r="T128" s="5"/>
    </row>
    <row r="129" spans="1:20" x14ac:dyDescent="0.25">
      <c r="A129" s="3" t="s">
        <v>255</v>
      </c>
      <c r="B129" s="3" t="s">
        <v>246</v>
      </c>
      <c r="C129" s="3">
        <v>5</v>
      </c>
      <c r="D129" s="3">
        <v>10</v>
      </c>
      <c r="E129" s="2" t="s">
        <v>421</v>
      </c>
      <c r="F129" s="3">
        <v>9</v>
      </c>
      <c r="G129" s="4" t="s">
        <v>557</v>
      </c>
      <c r="H129" s="4"/>
      <c r="I129" s="4"/>
      <c r="J129" s="4"/>
      <c r="K129" s="4"/>
      <c r="L129" s="3">
        <f t="shared" si="2"/>
        <v>9</v>
      </c>
      <c r="M129" s="4"/>
      <c r="N129" s="4"/>
      <c r="O129" s="4"/>
      <c r="P129" s="4"/>
      <c r="Q129" s="4"/>
      <c r="R129" s="4"/>
      <c r="S129" s="3">
        <f t="shared" si="3"/>
        <v>0</v>
      </c>
      <c r="T129" s="5"/>
    </row>
    <row r="130" spans="1:20" ht="42.75" x14ac:dyDescent="0.25">
      <c r="A130" s="3" t="s">
        <v>255</v>
      </c>
      <c r="B130" s="3" t="s">
        <v>246</v>
      </c>
      <c r="C130" s="3">
        <v>5</v>
      </c>
      <c r="D130" s="3">
        <v>11</v>
      </c>
      <c r="E130" s="2" t="s">
        <v>422</v>
      </c>
      <c r="F130" s="3">
        <v>7</v>
      </c>
      <c r="G130" s="4" t="s">
        <v>558</v>
      </c>
      <c r="H130" s="4"/>
      <c r="I130" s="4">
        <v>2</v>
      </c>
      <c r="J130" s="4"/>
      <c r="K130" s="4"/>
      <c r="L130" s="3">
        <f t="shared" ref="L130:L193" si="4">F130-(H130+I130+J130+K130)</f>
        <v>5</v>
      </c>
      <c r="M130" s="4"/>
      <c r="N130" s="4"/>
      <c r="O130" s="4"/>
      <c r="P130" s="4"/>
      <c r="Q130" s="4"/>
      <c r="R130" s="4"/>
      <c r="S130" s="3">
        <f t="shared" ref="S130:S193" si="5">N130+O130+P130+Q130+R130</f>
        <v>0</v>
      </c>
      <c r="T130" s="5" t="s">
        <v>561</v>
      </c>
    </row>
    <row r="131" spans="1:20" ht="28.5" x14ac:dyDescent="0.25">
      <c r="A131" s="3" t="s">
        <v>255</v>
      </c>
      <c r="B131" s="3" t="s">
        <v>246</v>
      </c>
      <c r="C131" s="3">
        <v>5</v>
      </c>
      <c r="D131" s="3">
        <v>12</v>
      </c>
      <c r="E131" s="2" t="s">
        <v>423</v>
      </c>
      <c r="F131" s="3">
        <v>17</v>
      </c>
      <c r="G131" s="4" t="s">
        <v>557</v>
      </c>
      <c r="H131" s="4"/>
      <c r="I131" s="4"/>
      <c r="J131" s="4"/>
      <c r="K131" s="4"/>
      <c r="L131" s="3">
        <f t="shared" si="4"/>
        <v>17</v>
      </c>
      <c r="M131" s="4"/>
      <c r="N131" s="4"/>
      <c r="O131" s="4"/>
      <c r="P131" s="4"/>
      <c r="Q131" s="4"/>
      <c r="R131" s="4"/>
      <c r="S131" s="3">
        <f t="shared" si="5"/>
        <v>0</v>
      </c>
      <c r="T131" s="5"/>
    </row>
    <row r="132" spans="1:20" ht="28.5" x14ac:dyDescent="0.25">
      <c r="A132" s="3" t="s">
        <v>257</v>
      </c>
      <c r="B132" s="3" t="s">
        <v>258</v>
      </c>
      <c r="C132" s="3">
        <v>1</v>
      </c>
      <c r="D132" s="3">
        <v>1</v>
      </c>
      <c r="E132" s="2" t="s">
        <v>424</v>
      </c>
      <c r="F132" s="3">
        <v>3</v>
      </c>
      <c r="G132" s="4" t="s">
        <v>558</v>
      </c>
      <c r="H132" s="4">
        <v>2</v>
      </c>
      <c r="I132" s="4"/>
      <c r="J132" s="4"/>
      <c r="K132" s="4"/>
      <c r="L132" s="3">
        <f t="shared" si="4"/>
        <v>1</v>
      </c>
      <c r="M132" s="4"/>
      <c r="N132" s="4"/>
      <c r="O132" s="4"/>
      <c r="P132" s="4"/>
      <c r="Q132" s="4"/>
      <c r="R132" s="4"/>
      <c r="S132" s="3">
        <f t="shared" si="5"/>
        <v>0</v>
      </c>
      <c r="T132" s="5"/>
    </row>
    <row r="133" spans="1:20" ht="28.5" x14ac:dyDescent="0.25">
      <c r="A133" s="3" t="s">
        <v>257</v>
      </c>
      <c r="B133" s="3" t="s">
        <v>258</v>
      </c>
      <c r="C133" s="3">
        <v>1</v>
      </c>
      <c r="D133" s="3">
        <v>2</v>
      </c>
      <c r="E133" s="2" t="s">
        <v>425</v>
      </c>
      <c r="F133" s="3">
        <v>6</v>
      </c>
      <c r="G133" s="4" t="s">
        <v>558</v>
      </c>
      <c r="H133" s="4">
        <v>2</v>
      </c>
      <c r="I133" s="4"/>
      <c r="J133" s="4"/>
      <c r="K133" s="4"/>
      <c r="L133" s="3">
        <f t="shared" si="4"/>
        <v>4</v>
      </c>
      <c r="M133" s="4"/>
      <c r="N133" s="4"/>
      <c r="O133" s="4"/>
      <c r="P133" s="4"/>
      <c r="Q133" s="4"/>
      <c r="R133" s="4"/>
      <c r="S133" s="3">
        <f t="shared" si="5"/>
        <v>0</v>
      </c>
      <c r="T133" s="5"/>
    </row>
    <row r="134" spans="1:20" x14ac:dyDescent="0.25">
      <c r="A134" s="3" t="s">
        <v>257</v>
      </c>
      <c r="B134" s="3" t="s">
        <v>258</v>
      </c>
      <c r="C134" s="3">
        <v>1</v>
      </c>
      <c r="D134" s="3">
        <v>3</v>
      </c>
      <c r="E134" s="2" t="s">
        <v>426</v>
      </c>
      <c r="F134" s="3">
        <v>3</v>
      </c>
      <c r="G134" s="4" t="s">
        <v>557</v>
      </c>
      <c r="H134" s="4"/>
      <c r="I134" s="4"/>
      <c r="J134" s="4"/>
      <c r="K134" s="4"/>
      <c r="L134" s="3">
        <f t="shared" si="4"/>
        <v>3</v>
      </c>
      <c r="M134" s="4"/>
      <c r="N134" s="4"/>
      <c r="O134" s="4"/>
      <c r="P134" s="4"/>
      <c r="Q134" s="4"/>
      <c r="R134" s="4"/>
      <c r="S134" s="3">
        <f t="shared" si="5"/>
        <v>0</v>
      </c>
      <c r="T134" s="5"/>
    </row>
    <row r="135" spans="1:20" ht="28.5" x14ac:dyDescent="0.25">
      <c r="A135" s="3" t="s">
        <v>257</v>
      </c>
      <c r="B135" s="3" t="s">
        <v>258</v>
      </c>
      <c r="C135" s="3">
        <v>1</v>
      </c>
      <c r="D135" s="3">
        <v>4</v>
      </c>
      <c r="E135" s="2" t="s">
        <v>427</v>
      </c>
      <c r="F135" s="3">
        <v>4</v>
      </c>
      <c r="G135" s="4" t="s">
        <v>558</v>
      </c>
      <c r="H135" s="4"/>
      <c r="I135" s="4">
        <v>1</v>
      </c>
      <c r="J135" s="4">
        <v>1</v>
      </c>
      <c r="K135" s="4"/>
      <c r="L135" s="3">
        <f t="shared" si="4"/>
        <v>2</v>
      </c>
      <c r="M135" s="4"/>
      <c r="N135" s="4"/>
      <c r="O135" s="4"/>
      <c r="P135" s="4"/>
      <c r="Q135" s="4"/>
      <c r="R135" s="4"/>
      <c r="S135" s="3">
        <f t="shared" si="5"/>
        <v>0</v>
      </c>
      <c r="T135" s="5"/>
    </row>
    <row r="136" spans="1:20" ht="28.5" x14ac:dyDescent="0.25">
      <c r="A136" s="3" t="s">
        <v>257</v>
      </c>
      <c r="B136" s="3" t="s">
        <v>258</v>
      </c>
      <c r="C136" s="3">
        <v>1</v>
      </c>
      <c r="D136" s="3">
        <v>5</v>
      </c>
      <c r="E136" s="2" t="s">
        <v>428</v>
      </c>
      <c r="F136" s="3">
        <v>3</v>
      </c>
      <c r="G136" s="4" t="s">
        <v>558</v>
      </c>
      <c r="H136" s="4"/>
      <c r="I136" s="4">
        <v>1</v>
      </c>
      <c r="J136" s="4">
        <v>1</v>
      </c>
      <c r="K136" s="4"/>
      <c r="L136" s="3">
        <f t="shared" si="4"/>
        <v>1</v>
      </c>
      <c r="M136" s="4"/>
      <c r="N136" s="4"/>
      <c r="O136" s="4"/>
      <c r="P136" s="4"/>
      <c r="Q136" s="4"/>
      <c r="R136" s="4"/>
      <c r="S136" s="3">
        <f t="shared" si="5"/>
        <v>0</v>
      </c>
      <c r="T136" s="5"/>
    </row>
    <row r="137" spans="1:20" x14ac:dyDescent="0.25">
      <c r="A137" s="3" t="s">
        <v>257</v>
      </c>
      <c r="B137" s="3" t="s">
        <v>258</v>
      </c>
      <c r="C137" s="3">
        <v>1</v>
      </c>
      <c r="D137" s="3">
        <v>6</v>
      </c>
      <c r="E137" s="2" t="s">
        <v>429</v>
      </c>
      <c r="F137" s="3">
        <v>4</v>
      </c>
      <c r="G137" s="4" t="s">
        <v>557</v>
      </c>
      <c r="H137" s="4"/>
      <c r="I137" s="4"/>
      <c r="J137" s="4"/>
      <c r="K137" s="4"/>
      <c r="L137" s="3">
        <f t="shared" si="4"/>
        <v>4</v>
      </c>
      <c r="M137" s="4"/>
      <c r="N137" s="4"/>
      <c r="O137" s="4"/>
      <c r="P137" s="4"/>
      <c r="Q137" s="4"/>
      <c r="R137" s="4"/>
      <c r="S137" s="3">
        <f t="shared" si="5"/>
        <v>0</v>
      </c>
      <c r="T137" s="5"/>
    </row>
    <row r="138" spans="1:20" ht="28.5" x14ac:dyDescent="0.25">
      <c r="A138" s="3" t="s">
        <v>257</v>
      </c>
      <c r="B138" s="3" t="s">
        <v>258</v>
      </c>
      <c r="C138" s="3">
        <v>1</v>
      </c>
      <c r="D138" s="3">
        <v>7</v>
      </c>
      <c r="E138" s="2" t="s">
        <v>430</v>
      </c>
      <c r="F138" s="3">
        <v>3</v>
      </c>
      <c r="G138" s="4" t="s">
        <v>559</v>
      </c>
      <c r="H138" s="4"/>
      <c r="I138" s="4">
        <v>2</v>
      </c>
      <c r="J138" s="4">
        <v>1</v>
      </c>
      <c r="K138" s="4"/>
      <c r="L138" s="3">
        <f t="shared" si="4"/>
        <v>0</v>
      </c>
      <c r="M138" s="4"/>
      <c r="N138" s="4"/>
      <c r="O138" s="4"/>
      <c r="P138" s="4"/>
      <c r="Q138" s="4"/>
      <c r="R138" s="4"/>
      <c r="S138" s="3">
        <f t="shared" si="5"/>
        <v>0</v>
      </c>
      <c r="T138" s="5"/>
    </row>
    <row r="139" spans="1:20" ht="28.5" x14ac:dyDescent="0.25">
      <c r="A139" s="3" t="s">
        <v>257</v>
      </c>
      <c r="B139" s="3" t="s">
        <v>258</v>
      </c>
      <c r="C139" s="3">
        <v>1</v>
      </c>
      <c r="D139" s="3">
        <v>8</v>
      </c>
      <c r="E139" s="2" t="s">
        <v>431</v>
      </c>
      <c r="F139" s="3">
        <v>3</v>
      </c>
      <c r="G139" s="4" t="s">
        <v>558</v>
      </c>
      <c r="H139" s="4"/>
      <c r="I139" s="4">
        <v>1</v>
      </c>
      <c r="J139" s="4"/>
      <c r="K139" s="4"/>
      <c r="L139" s="3">
        <f t="shared" si="4"/>
        <v>2</v>
      </c>
      <c r="M139" s="4"/>
      <c r="N139" s="4"/>
      <c r="O139" s="4"/>
      <c r="P139" s="4"/>
      <c r="Q139" s="4"/>
      <c r="R139" s="4"/>
      <c r="S139" s="3">
        <f t="shared" si="5"/>
        <v>0</v>
      </c>
      <c r="T139" s="5"/>
    </row>
    <row r="140" spans="1:20" ht="28.5" x14ac:dyDescent="0.25">
      <c r="A140" s="3" t="s">
        <v>257</v>
      </c>
      <c r="B140" s="3" t="s">
        <v>258</v>
      </c>
      <c r="C140" s="3">
        <v>1</v>
      </c>
      <c r="D140" s="3">
        <v>9</v>
      </c>
      <c r="E140" s="2" t="s">
        <v>432</v>
      </c>
      <c r="F140" s="3">
        <v>3</v>
      </c>
      <c r="G140" s="4" t="s">
        <v>558</v>
      </c>
      <c r="H140" s="4"/>
      <c r="I140" s="4">
        <v>2</v>
      </c>
      <c r="J140" s="4"/>
      <c r="K140" s="4"/>
      <c r="L140" s="3">
        <f t="shared" si="4"/>
        <v>1</v>
      </c>
      <c r="M140" s="4"/>
      <c r="N140" s="4"/>
      <c r="O140" s="4"/>
      <c r="P140" s="4"/>
      <c r="Q140" s="4"/>
      <c r="R140" s="4"/>
      <c r="S140" s="3">
        <f t="shared" si="5"/>
        <v>0</v>
      </c>
      <c r="T140" s="5"/>
    </row>
    <row r="141" spans="1:20" ht="28.5" x14ac:dyDescent="0.25">
      <c r="A141" s="3" t="s">
        <v>257</v>
      </c>
      <c r="B141" s="3" t="s">
        <v>258</v>
      </c>
      <c r="C141" s="3">
        <v>1</v>
      </c>
      <c r="D141" s="3">
        <v>10</v>
      </c>
      <c r="E141" s="2" t="s">
        <v>433</v>
      </c>
      <c r="F141" s="3">
        <v>5</v>
      </c>
      <c r="G141" s="4" t="s">
        <v>558</v>
      </c>
      <c r="H141" s="4"/>
      <c r="I141" s="4">
        <v>1</v>
      </c>
      <c r="J141" s="4"/>
      <c r="K141" s="4"/>
      <c r="L141" s="3">
        <f t="shared" si="4"/>
        <v>4</v>
      </c>
      <c r="M141" s="4"/>
      <c r="N141" s="4"/>
      <c r="O141" s="4"/>
      <c r="P141" s="4"/>
      <c r="Q141" s="4"/>
      <c r="R141" s="4"/>
      <c r="S141" s="3">
        <f t="shared" si="5"/>
        <v>0</v>
      </c>
      <c r="T141" s="5"/>
    </row>
    <row r="142" spans="1:20" ht="28.5" x14ac:dyDescent="0.25">
      <c r="A142" s="3" t="s">
        <v>257</v>
      </c>
      <c r="B142" s="3" t="s">
        <v>258</v>
      </c>
      <c r="C142" s="3">
        <v>1</v>
      </c>
      <c r="D142" s="3">
        <v>11</v>
      </c>
      <c r="E142" s="2" t="s">
        <v>434</v>
      </c>
      <c r="F142" s="3">
        <v>8</v>
      </c>
      <c r="G142" s="4" t="s">
        <v>558</v>
      </c>
      <c r="H142" s="4"/>
      <c r="I142" s="4">
        <v>1</v>
      </c>
      <c r="J142" s="4"/>
      <c r="K142" s="4"/>
      <c r="L142" s="3">
        <f t="shared" si="4"/>
        <v>7</v>
      </c>
      <c r="M142" s="4"/>
      <c r="N142" s="4"/>
      <c r="O142" s="4"/>
      <c r="P142" s="4"/>
      <c r="Q142" s="4"/>
      <c r="R142" s="4"/>
      <c r="S142" s="3">
        <f t="shared" si="5"/>
        <v>0</v>
      </c>
      <c r="T142" s="5" t="s">
        <v>562</v>
      </c>
    </row>
    <row r="143" spans="1:20" ht="28.5" x14ac:dyDescent="0.25">
      <c r="A143" s="3" t="s">
        <v>257</v>
      </c>
      <c r="B143" s="3" t="s">
        <v>258</v>
      </c>
      <c r="C143" s="3">
        <v>1</v>
      </c>
      <c r="D143" s="3">
        <v>12</v>
      </c>
      <c r="E143" s="2" t="s">
        <v>435</v>
      </c>
      <c r="F143" s="3">
        <v>8</v>
      </c>
      <c r="G143" s="4" t="s">
        <v>558</v>
      </c>
      <c r="H143" s="4"/>
      <c r="I143" s="4">
        <v>1</v>
      </c>
      <c r="J143" s="4">
        <v>2</v>
      </c>
      <c r="K143" s="4"/>
      <c r="L143" s="3">
        <f t="shared" si="4"/>
        <v>5</v>
      </c>
      <c r="M143" s="4"/>
      <c r="N143" s="4"/>
      <c r="O143" s="4"/>
      <c r="P143" s="4"/>
      <c r="Q143" s="4"/>
      <c r="R143" s="4"/>
      <c r="S143" s="3">
        <f t="shared" si="5"/>
        <v>0</v>
      </c>
      <c r="T143" s="5"/>
    </row>
    <row r="144" spans="1:20" ht="28.5" x14ac:dyDescent="0.25">
      <c r="A144" s="3" t="s">
        <v>257</v>
      </c>
      <c r="B144" s="3" t="s">
        <v>258</v>
      </c>
      <c r="C144" s="3">
        <v>1</v>
      </c>
      <c r="D144" s="3">
        <v>13</v>
      </c>
      <c r="E144" s="2" t="s">
        <v>436</v>
      </c>
      <c r="F144" s="3">
        <v>11</v>
      </c>
      <c r="G144" s="4" t="s">
        <v>558</v>
      </c>
      <c r="H144" s="4">
        <v>3</v>
      </c>
      <c r="I144" s="4"/>
      <c r="J144" s="4">
        <v>1</v>
      </c>
      <c r="K144" s="4"/>
      <c r="L144" s="3">
        <f t="shared" si="4"/>
        <v>7</v>
      </c>
      <c r="M144" s="4"/>
      <c r="N144" s="4"/>
      <c r="O144" s="4"/>
      <c r="P144" s="4"/>
      <c r="Q144" s="4"/>
      <c r="R144" s="4"/>
      <c r="S144" s="3">
        <f t="shared" si="5"/>
        <v>0</v>
      </c>
      <c r="T144" s="5"/>
    </row>
    <row r="145" spans="1:20" x14ac:dyDescent="0.25">
      <c r="A145" s="3" t="s">
        <v>261</v>
      </c>
      <c r="B145" s="3" t="s">
        <v>258</v>
      </c>
      <c r="C145" s="3">
        <v>2</v>
      </c>
      <c r="D145" s="3">
        <v>1</v>
      </c>
      <c r="E145" s="2" t="s">
        <v>385</v>
      </c>
      <c r="F145" s="3">
        <v>2</v>
      </c>
      <c r="G145" s="4" t="s">
        <v>557</v>
      </c>
      <c r="H145" s="4"/>
      <c r="I145" s="4"/>
      <c r="J145" s="4"/>
      <c r="K145" s="4"/>
      <c r="L145" s="3">
        <f t="shared" si="4"/>
        <v>2</v>
      </c>
      <c r="M145" s="4"/>
      <c r="N145" s="4"/>
      <c r="O145" s="4"/>
      <c r="P145" s="4"/>
      <c r="Q145" s="4"/>
      <c r="R145" s="4"/>
      <c r="S145" s="3">
        <f t="shared" si="5"/>
        <v>0</v>
      </c>
      <c r="T145" s="5"/>
    </row>
    <row r="146" spans="1:20" x14ac:dyDescent="0.25">
      <c r="A146" s="3" t="s">
        <v>261</v>
      </c>
      <c r="B146" s="3" t="s">
        <v>258</v>
      </c>
      <c r="C146" s="3">
        <v>2</v>
      </c>
      <c r="D146" s="3">
        <v>2</v>
      </c>
      <c r="E146" s="2" t="s">
        <v>437</v>
      </c>
      <c r="F146" s="3">
        <v>1</v>
      </c>
      <c r="G146" s="4" t="s">
        <v>557</v>
      </c>
      <c r="H146" s="4"/>
      <c r="I146" s="4"/>
      <c r="J146" s="4"/>
      <c r="K146" s="4"/>
      <c r="L146" s="3">
        <f t="shared" si="4"/>
        <v>1</v>
      </c>
      <c r="M146" s="4"/>
      <c r="N146" s="4"/>
      <c r="O146" s="4"/>
      <c r="P146" s="4"/>
      <c r="Q146" s="4"/>
      <c r="R146" s="4"/>
      <c r="S146" s="3">
        <f t="shared" si="5"/>
        <v>0</v>
      </c>
      <c r="T146" s="5"/>
    </row>
    <row r="147" spans="1:20" x14ac:dyDescent="0.25">
      <c r="A147" s="3" t="s">
        <v>261</v>
      </c>
      <c r="B147" s="3" t="s">
        <v>258</v>
      </c>
      <c r="C147" s="3">
        <v>2</v>
      </c>
      <c r="D147" s="3">
        <v>3</v>
      </c>
      <c r="E147" s="2" t="s">
        <v>438</v>
      </c>
      <c r="F147" s="3">
        <v>3</v>
      </c>
      <c r="G147" s="4" t="s">
        <v>557</v>
      </c>
      <c r="H147" s="4"/>
      <c r="I147" s="4"/>
      <c r="J147" s="4"/>
      <c r="K147" s="4"/>
      <c r="L147" s="3">
        <f t="shared" si="4"/>
        <v>3</v>
      </c>
      <c r="M147" s="4"/>
      <c r="N147" s="4"/>
      <c r="O147" s="4"/>
      <c r="P147" s="4"/>
      <c r="Q147" s="4"/>
      <c r="R147" s="4"/>
      <c r="S147" s="3">
        <f t="shared" si="5"/>
        <v>0</v>
      </c>
      <c r="T147" s="5"/>
    </row>
    <row r="148" spans="1:20" ht="28.5" x14ac:dyDescent="0.25">
      <c r="A148" s="3" t="s">
        <v>261</v>
      </c>
      <c r="B148" s="3" t="s">
        <v>258</v>
      </c>
      <c r="C148" s="3">
        <v>2</v>
      </c>
      <c r="D148" s="3">
        <v>4</v>
      </c>
      <c r="E148" s="2" t="s">
        <v>439</v>
      </c>
      <c r="F148" s="3">
        <v>4</v>
      </c>
      <c r="G148" s="4" t="s">
        <v>558</v>
      </c>
      <c r="H148" s="4"/>
      <c r="I148" s="4">
        <v>1</v>
      </c>
      <c r="J148" s="4"/>
      <c r="K148" s="4"/>
      <c r="L148" s="3">
        <f t="shared" si="4"/>
        <v>3</v>
      </c>
      <c r="M148" s="4"/>
      <c r="N148" s="4"/>
      <c r="O148" s="4"/>
      <c r="P148" s="4"/>
      <c r="Q148" s="4"/>
      <c r="R148" s="4"/>
      <c r="S148" s="3">
        <f t="shared" si="5"/>
        <v>0</v>
      </c>
      <c r="T148" s="5"/>
    </row>
    <row r="149" spans="1:20" x14ac:dyDescent="0.25">
      <c r="A149" s="3" t="s">
        <v>261</v>
      </c>
      <c r="B149" s="3" t="s">
        <v>258</v>
      </c>
      <c r="C149" s="3">
        <v>2</v>
      </c>
      <c r="D149" s="3">
        <v>5</v>
      </c>
      <c r="E149" s="2" t="s">
        <v>440</v>
      </c>
      <c r="F149" s="3">
        <v>3</v>
      </c>
      <c r="G149" s="4" t="s">
        <v>557</v>
      </c>
      <c r="H149" s="4"/>
      <c r="I149" s="4"/>
      <c r="J149" s="4"/>
      <c r="K149" s="4"/>
      <c r="L149" s="3">
        <f t="shared" si="4"/>
        <v>3</v>
      </c>
      <c r="M149" s="4"/>
      <c r="N149" s="4"/>
      <c r="O149" s="4"/>
      <c r="P149" s="4"/>
      <c r="Q149" s="4"/>
      <c r="R149" s="4"/>
      <c r="S149" s="3">
        <f t="shared" si="5"/>
        <v>0</v>
      </c>
      <c r="T149" s="5"/>
    </row>
    <row r="150" spans="1:20" ht="28.5" x14ac:dyDescent="0.25">
      <c r="A150" s="3" t="s">
        <v>261</v>
      </c>
      <c r="B150" s="3" t="s">
        <v>258</v>
      </c>
      <c r="C150" s="3">
        <v>2</v>
      </c>
      <c r="D150" s="3">
        <v>6</v>
      </c>
      <c r="E150" s="2" t="s">
        <v>441</v>
      </c>
      <c r="F150" s="3">
        <v>4</v>
      </c>
      <c r="G150" s="4" t="s">
        <v>558</v>
      </c>
      <c r="H150" s="4"/>
      <c r="I150" s="4">
        <v>1</v>
      </c>
      <c r="J150" s="4"/>
      <c r="K150" s="4"/>
      <c r="L150" s="3">
        <f t="shared" si="4"/>
        <v>3</v>
      </c>
      <c r="M150" s="4"/>
      <c r="N150" s="4"/>
      <c r="O150" s="4"/>
      <c r="P150" s="4"/>
      <c r="Q150" s="4"/>
      <c r="R150" s="4"/>
      <c r="S150" s="3">
        <f t="shared" si="5"/>
        <v>0</v>
      </c>
      <c r="T150" s="5"/>
    </row>
    <row r="151" spans="1:20" ht="28.5" x14ac:dyDescent="0.25">
      <c r="A151" s="3" t="s">
        <v>261</v>
      </c>
      <c r="B151" s="3" t="s">
        <v>258</v>
      </c>
      <c r="C151" s="3">
        <v>2</v>
      </c>
      <c r="D151" s="3">
        <v>7</v>
      </c>
      <c r="E151" s="2" t="s">
        <v>442</v>
      </c>
      <c r="F151" s="3">
        <v>3</v>
      </c>
      <c r="G151" s="4" t="s">
        <v>558</v>
      </c>
      <c r="H151" s="4"/>
      <c r="I151" s="4">
        <v>1</v>
      </c>
      <c r="J151" s="4"/>
      <c r="K151" s="4"/>
      <c r="L151" s="3">
        <f t="shared" si="4"/>
        <v>2</v>
      </c>
      <c r="M151" s="4"/>
      <c r="N151" s="4"/>
      <c r="O151" s="4"/>
      <c r="P151" s="4"/>
      <c r="Q151" s="4"/>
      <c r="R151" s="4"/>
      <c r="S151" s="3">
        <f t="shared" si="5"/>
        <v>0</v>
      </c>
      <c r="T151" s="5"/>
    </row>
    <row r="152" spans="1:20" x14ac:dyDescent="0.25">
      <c r="A152" s="3" t="s">
        <v>261</v>
      </c>
      <c r="B152" s="3" t="s">
        <v>258</v>
      </c>
      <c r="C152" s="3">
        <v>2</v>
      </c>
      <c r="D152" s="3">
        <v>8</v>
      </c>
      <c r="E152" s="2" t="s">
        <v>443</v>
      </c>
      <c r="F152" s="3">
        <v>3</v>
      </c>
      <c r="G152" s="4" t="s">
        <v>557</v>
      </c>
      <c r="H152" s="4"/>
      <c r="I152" s="4"/>
      <c r="J152" s="4"/>
      <c r="K152" s="4"/>
      <c r="L152" s="3">
        <f t="shared" si="4"/>
        <v>3</v>
      </c>
      <c r="M152" s="4"/>
      <c r="N152" s="4"/>
      <c r="O152" s="4"/>
      <c r="P152" s="4"/>
      <c r="Q152" s="4"/>
      <c r="R152" s="4"/>
      <c r="S152" s="3">
        <f t="shared" si="5"/>
        <v>0</v>
      </c>
      <c r="T152" s="5"/>
    </row>
    <row r="153" spans="1:20" ht="28.5" x14ac:dyDescent="0.25">
      <c r="A153" s="3" t="s">
        <v>261</v>
      </c>
      <c r="B153" s="3" t="s">
        <v>258</v>
      </c>
      <c r="C153" s="3">
        <v>2</v>
      </c>
      <c r="D153" s="3">
        <v>9</v>
      </c>
      <c r="E153" s="2" t="s">
        <v>444</v>
      </c>
      <c r="F153" s="3">
        <v>3</v>
      </c>
      <c r="G153" s="4" t="s">
        <v>558</v>
      </c>
      <c r="H153" s="4"/>
      <c r="I153" s="4">
        <v>1</v>
      </c>
      <c r="J153" s="4"/>
      <c r="K153" s="4"/>
      <c r="L153" s="3">
        <f t="shared" si="4"/>
        <v>2</v>
      </c>
      <c r="M153" s="4"/>
      <c r="N153" s="4"/>
      <c r="O153" s="4"/>
      <c r="P153" s="4"/>
      <c r="Q153" s="4"/>
      <c r="R153" s="4"/>
      <c r="S153" s="3">
        <f t="shared" si="5"/>
        <v>0</v>
      </c>
      <c r="T153" s="5"/>
    </row>
    <row r="154" spans="1:20" x14ac:dyDescent="0.25">
      <c r="A154" s="3" t="s">
        <v>261</v>
      </c>
      <c r="B154" s="3" t="s">
        <v>258</v>
      </c>
      <c r="C154" s="3">
        <v>2</v>
      </c>
      <c r="D154" s="3">
        <v>10</v>
      </c>
      <c r="E154" s="2" t="s">
        <v>445</v>
      </c>
      <c r="F154" s="3">
        <v>4</v>
      </c>
      <c r="G154" s="4" t="s">
        <v>557</v>
      </c>
      <c r="H154" s="4"/>
      <c r="I154" s="4"/>
      <c r="J154" s="4"/>
      <c r="K154" s="4"/>
      <c r="L154" s="3">
        <f t="shared" si="4"/>
        <v>4</v>
      </c>
      <c r="M154" s="4"/>
      <c r="N154" s="4"/>
      <c r="O154" s="4"/>
      <c r="P154" s="4"/>
      <c r="Q154" s="4"/>
      <c r="R154" s="4"/>
      <c r="S154" s="3">
        <f t="shared" si="5"/>
        <v>0</v>
      </c>
      <c r="T154" s="5"/>
    </row>
    <row r="155" spans="1:20" x14ac:dyDescent="0.25">
      <c r="A155" s="3" t="s">
        <v>261</v>
      </c>
      <c r="B155" s="3" t="s">
        <v>258</v>
      </c>
      <c r="C155" s="3">
        <v>2</v>
      </c>
      <c r="D155" s="3">
        <v>11</v>
      </c>
      <c r="E155" s="2" t="s">
        <v>446</v>
      </c>
      <c r="F155" s="3">
        <v>7</v>
      </c>
      <c r="G155" s="4" t="s">
        <v>557</v>
      </c>
      <c r="H155" s="4"/>
      <c r="I155" s="4"/>
      <c r="J155" s="4"/>
      <c r="K155" s="4"/>
      <c r="L155" s="3">
        <f t="shared" si="4"/>
        <v>7</v>
      </c>
      <c r="M155" s="4"/>
      <c r="N155" s="4"/>
      <c r="O155" s="4"/>
      <c r="P155" s="4"/>
      <c r="Q155" s="4"/>
      <c r="R155" s="4"/>
      <c r="S155" s="3">
        <f t="shared" si="5"/>
        <v>0</v>
      </c>
      <c r="T155" s="5"/>
    </row>
    <row r="156" spans="1:20" ht="28.5" x14ac:dyDescent="0.25">
      <c r="A156" s="3" t="s">
        <v>261</v>
      </c>
      <c r="B156" s="3" t="s">
        <v>258</v>
      </c>
      <c r="C156" s="3">
        <v>2</v>
      </c>
      <c r="D156" s="3">
        <v>12</v>
      </c>
      <c r="E156" s="2" t="s">
        <v>447</v>
      </c>
      <c r="F156" s="3">
        <v>8</v>
      </c>
      <c r="G156" s="4" t="s">
        <v>558</v>
      </c>
      <c r="H156" s="4">
        <v>1</v>
      </c>
      <c r="I156" s="4"/>
      <c r="J156" s="4"/>
      <c r="K156" s="4"/>
      <c r="L156" s="3">
        <f t="shared" si="4"/>
        <v>7</v>
      </c>
      <c r="M156" s="4"/>
      <c r="N156" s="4"/>
      <c r="O156" s="4"/>
      <c r="P156" s="4"/>
      <c r="Q156" s="4"/>
      <c r="R156" s="4"/>
      <c r="S156" s="3">
        <f t="shared" si="5"/>
        <v>0</v>
      </c>
      <c r="T156" s="5"/>
    </row>
    <row r="157" spans="1:20" ht="28.5" x14ac:dyDescent="0.25">
      <c r="A157" s="3" t="s">
        <v>261</v>
      </c>
      <c r="B157" s="3" t="s">
        <v>258</v>
      </c>
      <c r="C157" s="3">
        <v>2</v>
      </c>
      <c r="D157" s="3">
        <v>13</v>
      </c>
      <c r="E157" s="2" t="s">
        <v>448</v>
      </c>
      <c r="F157" s="3">
        <v>12</v>
      </c>
      <c r="G157" s="4" t="s">
        <v>558</v>
      </c>
      <c r="H157" s="4">
        <v>1</v>
      </c>
      <c r="I157" s="4"/>
      <c r="J157" s="4"/>
      <c r="K157" s="4"/>
      <c r="L157" s="3">
        <f t="shared" si="4"/>
        <v>11</v>
      </c>
      <c r="M157" s="4"/>
      <c r="N157" s="4"/>
      <c r="O157" s="4"/>
      <c r="P157" s="4"/>
      <c r="Q157" s="4"/>
      <c r="R157" s="4"/>
      <c r="S157" s="3">
        <f t="shared" si="5"/>
        <v>0</v>
      </c>
      <c r="T157" s="5"/>
    </row>
    <row r="158" spans="1:20" ht="57" x14ac:dyDescent="0.25">
      <c r="A158" s="3" t="s">
        <v>261</v>
      </c>
      <c r="B158" s="3" t="s">
        <v>258</v>
      </c>
      <c r="C158" s="3">
        <v>2</v>
      </c>
      <c r="D158" s="3">
        <v>14</v>
      </c>
      <c r="E158" s="2" t="s">
        <v>449</v>
      </c>
      <c r="F158" s="3">
        <v>18</v>
      </c>
      <c r="G158" s="4" t="s">
        <v>558</v>
      </c>
      <c r="H158" s="4">
        <v>1</v>
      </c>
      <c r="I158" s="4">
        <v>2</v>
      </c>
      <c r="J158" s="4">
        <v>1</v>
      </c>
      <c r="K158" s="4"/>
      <c r="L158" s="3">
        <f t="shared" si="4"/>
        <v>14</v>
      </c>
      <c r="M158" s="4"/>
      <c r="N158" s="4"/>
      <c r="O158" s="4"/>
      <c r="P158" s="4"/>
      <c r="Q158" s="4"/>
      <c r="R158" s="4"/>
      <c r="S158" s="3">
        <f t="shared" si="5"/>
        <v>0</v>
      </c>
      <c r="T158" s="5"/>
    </row>
    <row r="159" spans="1:20" x14ac:dyDescent="0.25">
      <c r="A159" s="3" t="s">
        <v>263</v>
      </c>
      <c r="B159" s="3" t="s">
        <v>258</v>
      </c>
      <c r="C159" s="3">
        <v>3</v>
      </c>
      <c r="D159" s="3">
        <v>1</v>
      </c>
      <c r="E159" s="2" t="s">
        <v>450</v>
      </c>
      <c r="F159" s="3">
        <v>5</v>
      </c>
      <c r="G159" s="4" t="s">
        <v>557</v>
      </c>
      <c r="H159" s="4"/>
      <c r="I159" s="4"/>
      <c r="J159" s="4"/>
      <c r="K159" s="4"/>
      <c r="L159" s="3">
        <f t="shared" si="4"/>
        <v>5</v>
      </c>
      <c r="M159" s="4"/>
      <c r="N159" s="4"/>
      <c r="O159" s="4"/>
      <c r="P159" s="4"/>
      <c r="Q159" s="4"/>
      <c r="R159" s="4"/>
      <c r="S159" s="3">
        <f t="shared" si="5"/>
        <v>0</v>
      </c>
      <c r="T159" s="5"/>
    </row>
    <row r="160" spans="1:20" x14ac:dyDescent="0.25">
      <c r="A160" s="3" t="s">
        <v>263</v>
      </c>
      <c r="B160" s="3" t="s">
        <v>258</v>
      </c>
      <c r="C160" s="3">
        <v>3</v>
      </c>
      <c r="D160" s="3">
        <v>2</v>
      </c>
      <c r="E160" s="2" t="s">
        <v>438</v>
      </c>
      <c r="F160" s="3">
        <v>3</v>
      </c>
      <c r="G160" s="4" t="s">
        <v>557</v>
      </c>
      <c r="H160" s="4"/>
      <c r="I160" s="4"/>
      <c r="J160" s="4"/>
      <c r="K160" s="4"/>
      <c r="L160" s="3">
        <f t="shared" si="4"/>
        <v>3</v>
      </c>
      <c r="M160" s="4"/>
      <c r="N160" s="4"/>
      <c r="O160" s="4"/>
      <c r="P160" s="4"/>
      <c r="Q160" s="4"/>
      <c r="R160" s="4"/>
      <c r="S160" s="3">
        <f t="shared" si="5"/>
        <v>0</v>
      </c>
      <c r="T160" s="5"/>
    </row>
    <row r="161" spans="1:20" x14ac:dyDescent="0.25">
      <c r="A161" s="3" t="s">
        <v>263</v>
      </c>
      <c r="B161" s="3" t="s">
        <v>258</v>
      </c>
      <c r="C161" s="3">
        <v>3</v>
      </c>
      <c r="D161" s="3">
        <v>3</v>
      </c>
      <c r="E161" s="2" t="s">
        <v>451</v>
      </c>
      <c r="F161" s="3">
        <v>4</v>
      </c>
      <c r="G161" s="4" t="s">
        <v>557</v>
      </c>
      <c r="H161" s="4"/>
      <c r="I161" s="4"/>
      <c r="J161" s="4"/>
      <c r="K161" s="4"/>
      <c r="L161" s="3">
        <f t="shared" si="4"/>
        <v>4</v>
      </c>
      <c r="M161" s="4"/>
      <c r="N161" s="4"/>
      <c r="O161" s="4"/>
      <c r="P161" s="4"/>
      <c r="Q161" s="4"/>
      <c r="R161" s="4"/>
      <c r="S161" s="3">
        <f t="shared" si="5"/>
        <v>0</v>
      </c>
      <c r="T161" s="5"/>
    </row>
    <row r="162" spans="1:20" x14ac:dyDescent="0.25">
      <c r="A162" s="3" t="s">
        <v>263</v>
      </c>
      <c r="B162" s="3" t="s">
        <v>258</v>
      </c>
      <c r="C162" s="3">
        <v>3</v>
      </c>
      <c r="D162" s="3">
        <v>4</v>
      </c>
      <c r="E162" s="2" t="s">
        <v>440</v>
      </c>
      <c r="F162" s="3">
        <v>3</v>
      </c>
      <c r="G162" s="4" t="s">
        <v>557</v>
      </c>
      <c r="H162" s="4"/>
      <c r="I162" s="4"/>
      <c r="J162" s="4"/>
      <c r="K162" s="4"/>
      <c r="L162" s="3">
        <f t="shared" si="4"/>
        <v>3</v>
      </c>
      <c r="M162" s="4"/>
      <c r="N162" s="4"/>
      <c r="O162" s="4"/>
      <c r="P162" s="4"/>
      <c r="Q162" s="4"/>
      <c r="R162" s="4"/>
      <c r="S162" s="3">
        <f t="shared" si="5"/>
        <v>0</v>
      </c>
      <c r="T162" s="5"/>
    </row>
    <row r="163" spans="1:20" x14ac:dyDescent="0.25">
      <c r="A163" s="3" t="s">
        <v>263</v>
      </c>
      <c r="B163" s="3" t="s">
        <v>258</v>
      </c>
      <c r="C163" s="3">
        <v>3</v>
      </c>
      <c r="D163" s="3">
        <v>5</v>
      </c>
      <c r="E163" s="2" t="s">
        <v>429</v>
      </c>
      <c r="F163" s="3">
        <v>4</v>
      </c>
      <c r="G163" s="4" t="s">
        <v>557</v>
      </c>
      <c r="H163" s="4"/>
      <c r="I163" s="4"/>
      <c r="J163" s="4"/>
      <c r="K163" s="4"/>
      <c r="L163" s="3">
        <f t="shared" si="4"/>
        <v>4</v>
      </c>
      <c r="M163" s="4"/>
      <c r="N163" s="4"/>
      <c r="O163" s="4"/>
      <c r="P163" s="4"/>
      <c r="Q163" s="4"/>
      <c r="R163" s="4"/>
      <c r="S163" s="3">
        <f t="shared" si="5"/>
        <v>0</v>
      </c>
      <c r="T163" s="5"/>
    </row>
    <row r="164" spans="1:20" x14ac:dyDescent="0.25">
      <c r="A164" s="3" t="s">
        <v>263</v>
      </c>
      <c r="B164" s="3" t="s">
        <v>258</v>
      </c>
      <c r="C164" s="3">
        <v>3</v>
      </c>
      <c r="D164" s="3">
        <v>6</v>
      </c>
      <c r="E164" s="2" t="s">
        <v>452</v>
      </c>
      <c r="F164" s="3">
        <v>2</v>
      </c>
      <c r="G164" s="4" t="s">
        <v>557</v>
      </c>
      <c r="H164" s="4"/>
      <c r="I164" s="4"/>
      <c r="J164" s="4"/>
      <c r="K164" s="4"/>
      <c r="L164" s="3">
        <f t="shared" si="4"/>
        <v>2</v>
      </c>
      <c r="M164" s="4"/>
      <c r="N164" s="4"/>
      <c r="O164" s="4"/>
      <c r="P164" s="4"/>
      <c r="Q164" s="4"/>
      <c r="R164" s="4"/>
      <c r="S164" s="3">
        <f t="shared" si="5"/>
        <v>0</v>
      </c>
      <c r="T164" s="5"/>
    </row>
    <row r="165" spans="1:20" x14ac:dyDescent="0.25">
      <c r="A165" s="3" t="s">
        <v>263</v>
      </c>
      <c r="B165" s="3" t="s">
        <v>258</v>
      </c>
      <c r="C165" s="3">
        <v>3</v>
      </c>
      <c r="D165" s="3">
        <v>7</v>
      </c>
      <c r="E165" s="2" t="s">
        <v>443</v>
      </c>
      <c r="F165" s="3">
        <v>3</v>
      </c>
      <c r="G165" s="4" t="s">
        <v>557</v>
      </c>
      <c r="H165" s="4"/>
      <c r="I165" s="4"/>
      <c r="J165" s="4"/>
      <c r="K165" s="4"/>
      <c r="L165" s="3">
        <f t="shared" si="4"/>
        <v>3</v>
      </c>
      <c r="M165" s="4"/>
      <c r="N165" s="4"/>
      <c r="O165" s="4"/>
      <c r="P165" s="4"/>
      <c r="Q165" s="4"/>
      <c r="R165" s="4"/>
      <c r="S165" s="3">
        <f t="shared" si="5"/>
        <v>0</v>
      </c>
      <c r="T165" s="5"/>
    </row>
    <row r="166" spans="1:20" ht="28.5" x14ac:dyDescent="0.25">
      <c r="A166" s="3" t="s">
        <v>263</v>
      </c>
      <c r="B166" s="3" t="s">
        <v>258</v>
      </c>
      <c r="C166" s="3">
        <v>3</v>
      </c>
      <c r="D166" s="3">
        <v>8</v>
      </c>
      <c r="E166" s="2" t="s">
        <v>453</v>
      </c>
      <c r="F166" s="3">
        <v>2</v>
      </c>
      <c r="G166" s="4" t="s">
        <v>558</v>
      </c>
      <c r="H166" s="4">
        <v>1</v>
      </c>
      <c r="I166" s="4"/>
      <c r="J166" s="4"/>
      <c r="K166" s="4"/>
      <c r="L166" s="3">
        <f t="shared" si="4"/>
        <v>1</v>
      </c>
      <c r="M166" s="4"/>
      <c r="N166" s="4"/>
      <c r="O166" s="4"/>
      <c r="P166" s="4"/>
      <c r="Q166" s="4"/>
      <c r="R166" s="4"/>
      <c r="S166" s="3">
        <f t="shared" si="5"/>
        <v>0</v>
      </c>
      <c r="T166" s="5"/>
    </row>
    <row r="167" spans="1:20" x14ac:dyDescent="0.25">
      <c r="A167" s="3" t="s">
        <v>263</v>
      </c>
      <c r="B167" s="3" t="s">
        <v>258</v>
      </c>
      <c r="C167" s="3">
        <v>3</v>
      </c>
      <c r="D167" s="3">
        <v>9</v>
      </c>
      <c r="E167" s="2" t="s">
        <v>445</v>
      </c>
      <c r="F167" s="3">
        <v>4</v>
      </c>
      <c r="G167" s="4" t="s">
        <v>557</v>
      </c>
      <c r="H167" s="4"/>
      <c r="I167" s="4"/>
      <c r="J167" s="4"/>
      <c r="K167" s="4"/>
      <c r="L167" s="3">
        <f t="shared" si="4"/>
        <v>4</v>
      </c>
      <c r="M167" s="4"/>
      <c r="N167" s="4"/>
      <c r="O167" s="4"/>
      <c r="P167" s="4"/>
      <c r="Q167" s="4"/>
      <c r="R167" s="4"/>
      <c r="S167" s="3">
        <f t="shared" si="5"/>
        <v>0</v>
      </c>
      <c r="T167" s="5"/>
    </row>
    <row r="168" spans="1:20" x14ac:dyDescent="0.25">
      <c r="A168" s="3" t="s">
        <v>263</v>
      </c>
      <c r="B168" s="3" t="s">
        <v>258</v>
      </c>
      <c r="C168" s="3">
        <v>3</v>
      </c>
      <c r="D168" s="3">
        <v>10</v>
      </c>
      <c r="E168" s="2" t="s">
        <v>446</v>
      </c>
      <c r="F168" s="3">
        <v>7</v>
      </c>
      <c r="G168" s="4" t="s">
        <v>557</v>
      </c>
      <c r="H168" s="4"/>
      <c r="I168" s="4"/>
      <c r="J168" s="4"/>
      <c r="K168" s="4"/>
      <c r="L168" s="3">
        <f t="shared" si="4"/>
        <v>7</v>
      </c>
      <c r="M168" s="4"/>
      <c r="N168" s="4"/>
      <c r="O168" s="4"/>
      <c r="P168" s="4"/>
      <c r="Q168" s="4"/>
      <c r="R168" s="4"/>
      <c r="S168" s="3">
        <f t="shared" si="5"/>
        <v>0</v>
      </c>
      <c r="T168" s="5"/>
    </row>
    <row r="169" spans="1:20" ht="28.5" x14ac:dyDescent="0.25">
      <c r="A169" s="3" t="s">
        <v>263</v>
      </c>
      <c r="B169" s="3" t="s">
        <v>258</v>
      </c>
      <c r="C169" s="3">
        <v>3</v>
      </c>
      <c r="D169" s="3">
        <v>11</v>
      </c>
      <c r="E169" s="2" t="s">
        <v>454</v>
      </c>
      <c r="F169" s="3">
        <v>9</v>
      </c>
      <c r="G169" s="4" t="s">
        <v>558</v>
      </c>
      <c r="H169" s="4">
        <v>1</v>
      </c>
      <c r="I169" s="4"/>
      <c r="J169" s="4"/>
      <c r="K169" s="4"/>
      <c r="L169" s="3">
        <f t="shared" si="4"/>
        <v>8</v>
      </c>
      <c r="M169" s="4"/>
      <c r="N169" s="4"/>
      <c r="O169" s="4"/>
      <c r="P169" s="4"/>
      <c r="Q169" s="4"/>
      <c r="R169" s="4"/>
      <c r="S169" s="3">
        <f t="shared" si="5"/>
        <v>0</v>
      </c>
      <c r="T169" s="5"/>
    </row>
    <row r="170" spans="1:20" ht="28.5" x14ac:dyDescent="0.25">
      <c r="A170" s="3" t="s">
        <v>263</v>
      </c>
      <c r="B170" s="3" t="s">
        <v>258</v>
      </c>
      <c r="C170" s="3">
        <v>3</v>
      </c>
      <c r="D170" s="3">
        <v>12</v>
      </c>
      <c r="E170" s="2" t="s">
        <v>455</v>
      </c>
      <c r="F170" s="3">
        <v>13</v>
      </c>
      <c r="G170" s="4" t="s">
        <v>558</v>
      </c>
      <c r="H170" s="4">
        <v>1</v>
      </c>
      <c r="I170" s="4"/>
      <c r="J170" s="4"/>
      <c r="K170" s="4"/>
      <c r="L170" s="3">
        <f t="shared" si="4"/>
        <v>12</v>
      </c>
      <c r="M170" s="4"/>
      <c r="N170" s="4"/>
      <c r="O170" s="4"/>
      <c r="P170" s="4"/>
      <c r="Q170" s="4"/>
      <c r="R170" s="4"/>
      <c r="S170" s="3">
        <f t="shared" si="5"/>
        <v>0</v>
      </c>
      <c r="T170" s="5"/>
    </row>
    <row r="171" spans="1:20" x14ac:dyDescent="0.25">
      <c r="A171" s="3" t="s">
        <v>265</v>
      </c>
      <c r="B171" s="3" t="s">
        <v>258</v>
      </c>
      <c r="C171" s="3">
        <v>4</v>
      </c>
      <c r="D171" s="3">
        <v>1</v>
      </c>
      <c r="E171" s="2" t="s">
        <v>426</v>
      </c>
      <c r="F171" s="3">
        <v>3</v>
      </c>
      <c r="G171" s="4" t="s">
        <v>557</v>
      </c>
      <c r="H171" s="4"/>
      <c r="I171" s="4"/>
      <c r="J171" s="4"/>
      <c r="K171" s="4"/>
      <c r="L171" s="3">
        <f t="shared" si="4"/>
        <v>3</v>
      </c>
      <c r="M171" s="4"/>
      <c r="N171" s="4"/>
      <c r="O171" s="4"/>
      <c r="P171" s="4"/>
      <c r="Q171" s="4"/>
      <c r="R171" s="4"/>
      <c r="S171" s="3">
        <f t="shared" si="5"/>
        <v>0</v>
      </c>
      <c r="T171" s="5"/>
    </row>
    <row r="172" spans="1:20" ht="28.5" x14ac:dyDescent="0.25">
      <c r="A172" s="3" t="s">
        <v>265</v>
      </c>
      <c r="B172" s="3" t="s">
        <v>258</v>
      </c>
      <c r="C172" s="3">
        <v>4</v>
      </c>
      <c r="D172" s="3">
        <v>2</v>
      </c>
      <c r="E172" s="2" t="s">
        <v>456</v>
      </c>
      <c r="F172" s="3">
        <v>4</v>
      </c>
      <c r="G172" s="4" t="s">
        <v>558</v>
      </c>
      <c r="H172" s="4">
        <v>1</v>
      </c>
      <c r="I172" s="4"/>
      <c r="J172" s="4"/>
      <c r="K172" s="4">
        <v>1</v>
      </c>
      <c r="L172" s="3">
        <f t="shared" si="4"/>
        <v>2</v>
      </c>
      <c r="M172" s="4"/>
      <c r="N172" s="4">
        <v>1</v>
      </c>
      <c r="O172" s="4"/>
      <c r="P172" s="4"/>
      <c r="Q172" s="4"/>
      <c r="R172" s="4"/>
      <c r="S172" s="3">
        <f t="shared" si="5"/>
        <v>1</v>
      </c>
      <c r="T172" s="5"/>
    </row>
    <row r="173" spans="1:20" x14ac:dyDescent="0.25">
      <c r="A173" s="3" t="s">
        <v>265</v>
      </c>
      <c r="B173" s="3" t="s">
        <v>258</v>
      </c>
      <c r="C173" s="3">
        <v>4</v>
      </c>
      <c r="D173" s="3">
        <v>3</v>
      </c>
      <c r="E173" s="2" t="s">
        <v>440</v>
      </c>
      <c r="F173" s="3">
        <v>3</v>
      </c>
      <c r="G173" s="4" t="s">
        <v>557</v>
      </c>
      <c r="H173" s="4"/>
      <c r="I173" s="4"/>
      <c r="J173" s="4"/>
      <c r="K173" s="4"/>
      <c r="L173" s="3">
        <f t="shared" si="4"/>
        <v>3</v>
      </c>
      <c r="M173" s="4"/>
      <c r="N173" s="4"/>
      <c r="O173" s="4"/>
      <c r="P173" s="4"/>
      <c r="Q173" s="4"/>
      <c r="R173" s="4"/>
      <c r="S173" s="3">
        <f t="shared" si="5"/>
        <v>0</v>
      </c>
      <c r="T173" s="5"/>
    </row>
    <row r="174" spans="1:20" x14ac:dyDescent="0.25">
      <c r="A174" s="3" t="s">
        <v>265</v>
      </c>
      <c r="B174" s="3" t="s">
        <v>258</v>
      </c>
      <c r="C174" s="3">
        <v>4</v>
      </c>
      <c r="D174" s="3">
        <v>4</v>
      </c>
      <c r="E174" s="2" t="s">
        <v>429</v>
      </c>
      <c r="F174" s="3">
        <v>4</v>
      </c>
      <c r="G174" s="4" t="s">
        <v>557</v>
      </c>
      <c r="H174" s="4"/>
      <c r="I174" s="4"/>
      <c r="J174" s="4"/>
      <c r="K174" s="4"/>
      <c r="L174" s="3">
        <f t="shared" si="4"/>
        <v>4</v>
      </c>
      <c r="M174" s="4"/>
      <c r="N174" s="4"/>
      <c r="O174" s="4"/>
      <c r="P174" s="4"/>
      <c r="Q174" s="4"/>
      <c r="R174" s="4"/>
      <c r="S174" s="3">
        <f t="shared" si="5"/>
        <v>0</v>
      </c>
      <c r="T174" s="5"/>
    </row>
    <row r="175" spans="1:20" x14ac:dyDescent="0.25">
      <c r="A175" s="3" t="s">
        <v>265</v>
      </c>
      <c r="B175" s="3" t="s">
        <v>258</v>
      </c>
      <c r="C175" s="3">
        <v>4</v>
      </c>
      <c r="D175" s="3">
        <v>5</v>
      </c>
      <c r="E175" s="2" t="s">
        <v>457</v>
      </c>
      <c r="F175" s="3">
        <v>3</v>
      </c>
      <c r="G175" s="4" t="s">
        <v>557</v>
      </c>
      <c r="H175" s="4"/>
      <c r="I175" s="4"/>
      <c r="J175" s="4"/>
      <c r="K175" s="4"/>
      <c r="L175" s="3">
        <f t="shared" si="4"/>
        <v>3</v>
      </c>
      <c r="M175" s="4"/>
      <c r="N175" s="4"/>
      <c r="O175" s="4"/>
      <c r="P175" s="4"/>
      <c r="Q175" s="4"/>
      <c r="R175" s="4"/>
      <c r="S175" s="3">
        <f t="shared" si="5"/>
        <v>0</v>
      </c>
      <c r="T175" s="5"/>
    </row>
    <row r="176" spans="1:20" x14ac:dyDescent="0.25">
      <c r="A176" s="3" t="s">
        <v>265</v>
      </c>
      <c r="B176" s="3" t="s">
        <v>258</v>
      </c>
      <c r="C176" s="3">
        <v>4</v>
      </c>
      <c r="D176" s="3">
        <v>6</v>
      </c>
      <c r="E176" s="2" t="s">
        <v>443</v>
      </c>
      <c r="F176" s="3">
        <v>3</v>
      </c>
      <c r="G176" s="4" t="s">
        <v>557</v>
      </c>
      <c r="H176" s="4"/>
      <c r="I176" s="4"/>
      <c r="J176" s="4"/>
      <c r="K176" s="4"/>
      <c r="L176" s="3">
        <f t="shared" si="4"/>
        <v>3</v>
      </c>
      <c r="M176" s="4"/>
      <c r="N176" s="4"/>
      <c r="O176" s="4"/>
      <c r="P176" s="4"/>
      <c r="Q176" s="4"/>
      <c r="R176" s="4"/>
      <c r="S176" s="3">
        <f t="shared" si="5"/>
        <v>0</v>
      </c>
      <c r="T176" s="5"/>
    </row>
    <row r="177" spans="1:20" ht="28.5" x14ac:dyDescent="0.25">
      <c r="A177" s="3" t="s">
        <v>265</v>
      </c>
      <c r="B177" s="3" t="s">
        <v>258</v>
      </c>
      <c r="C177" s="3">
        <v>4</v>
      </c>
      <c r="D177" s="3">
        <v>7</v>
      </c>
      <c r="E177" s="2" t="s">
        <v>458</v>
      </c>
      <c r="F177" s="3">
        <v>2</v>
      </c>
      <c r="G177" s="4" t="s">
        <v>558</v>
      </c>
      <c r="H177" s="4"/>
      <c r="I177" s="4"/>
      <c r="J177" s="4">
        <v>1</v>
      </c>
      <c r="K177" s="4"/>
      <c r="L177" s="3">
        <f t="shared" si="4"/>
        <v>1</v>
      </c>
      <c r="M177" s="4"/>
      <c r="N177" s="4"/>
      <c r="O177" s="4"/>
      <c r="P177" s="4"/>
      <c r="Q177" s="4"/>
      <c r="R177" s="4"/>
      <c r="S177" s="3">
        <f t="shared" si="5"/>
        <v>0</v>
      </c>
      <c r="T177" s="5"/>
    </row>
    <row r="178" spans="1:20" x14ac:dyDescent="0.25">
      <c r="A178" s="3" t="s">
        <v>265</v>
      </c>
      <c r="B178" s="3" t="s">
        <v>258</v>
      </c>
      <c r="C178" s="3">
        <v>4</v>
      </c>
      <c r="D178" s="3">
        <v>8</v>
      </c>
      <c r="E178" s="2" t="s">
        <v>459</v>
      </c>
      <c r="F178" s="3">
        <v>4</v>
      </c>
      <c r="G178" s="4" t="s">
        <v>557</v>
      </c>
      <c r="H178" s="4"/>
      <c r="I178" s="4"/>
      <c r="J178" s="4"/>
      <c r="K178" s="4"/>
      <c r="L178" s="3">
        <f t="shared" si="4"/>
        <v>4</v>
      </c>
      <c r="M178" s="4"/>
      <c r="N178" s="4"/>
      <c r="O178" s="4"/>
      <c r="P178" s="4"/>
      <c r="Q178" s="4"/>
      <c r="R178" s="4"/>
      <c r="S178" s="3">
        <f t="shared" si="5"/>
        <v>0</v>
      </c>
      <c r="T178" s="5"/>
    </row>
    <row r="179" spans="1:20" x14ac:dyDescent="0.25">
      <c r="A179" s="3" t="s">
        <v>265</v>
      </c>
      <c r="B179" s="3" t="s">
        <v>258</v>
      </c>
      <c r="C179" s="3">
        <v>4</v>
      </c>
      <c r="D179" s="3">
        <v>9</v>
      </c>
      <c r="E179" s="2" t="s">
        <v>446</v>
      </c>
      <c r="F179" s="3">
        <v>7</v>
      </c>
      <c r="G179" s="4" t="s">
        <v>557</v>
      </c>
      <c r="H179" s="4"/>
      <c r="I179" s="4"/>
      <c r="J179" s="4"/>
      <c r="K179" s="4"/>
      <c r="L179" s="3">
        <f t="shared" si="4"/>
        <v>7</v>
      </c>
      <c r="M179" s="4"/>
      <c r="N179" s="4"/>
      <c r="O179" s="4"/>
      <c r="P179" s="4"/>
      <c r="Q179" s="4"/>
      <c r="R179" s="4"/>
      <c r="S179" s="3">
        <f t="shared" si="5"/>
        <v>0</v>
      </c>
      <c r="T179" s="5"/>
    </row>
    <row r="180" spans="1:20" ht="28.5" x14ac:dyDescent="0.25">
      <c r="A180" s="3" t="s">
        <v>265</v>
      </c>
      <c r="B180" s="3" t="s">
        <v>258</v>
      </c>
      <c r="C180" s="3">
        <v>4</v>
      </c>
      <c r="D180" s="3">
        <v>10</v>
      </c>
      <c r="E180" s="2" t="s">
        <v>460</v>
      </c>
      <c r="F180" s="3">
        <v>8</v>
      </c>
      <c r="G180" s="4" t="s">
        <v>558</v>
      </c>
      <c r="H180" s="4"/>
      <c r="I180" s="4">
        <v>1</v>
      </c>
      <c r="J180" s="4"/>
      <c r="K180" s="4"/>
      <c r="L180" s="3">
        <f t="shared" si="4"/>
        <v>7</v>
      </c>
      <c r="M180" s="4"/>
      <c r="N180" s="4"/>
      <c r="O180" s="4"/>
      <c r="P180" s="4"/>
      <c r="Q180" s="4"/>
      <c r="R180" s="4"/>
      <c r="S180" s="3">
        <f t="shared" si="5"/>
        <v>0</v>
      </c>
      <c r="T180" s="5"/>
    </row>
    <row r="181" spans="1:20" ht="28.5" x14ac:dyDescent="0.25">
      <c r="A181" s="3" t="s">
        <v>265</v>
      </c>
      <c r="B181" s="3" t="s">
        <v>258</v>
      </c>
      <c r="C181" s="3">
        <v>4</v>
      </c>
      <c r="D181" s="3">
        <v>11</v>
      </c>
      <c r="E181" s="2" t="s">
        <v>461</v>
      </c>
      <c r="F181" s="3">
        <v>11</v>
      </c>
      <c r="G181" s="4" t="s">
        <v>557</v>
      </c>
      <c r="H181" s="4"/>
      <c r="I181" s="4"/>
      <c r="J181" s="4"/>
      <c r="K181" s="4"/>
      <c r="L181" s="3">
        <f t="shared" si="4"/>
        <v>11</v>
      </c>
      <c r="M181" s="4"/>
      <c r="N181" s="4"/>
      <c r="O181" s="4"/>
      <c r="P181" s="4"/>
      <c r="Q181" s="4"/>
      <c r="R181" s="4"/>
      <c r="S181" s="3">
        <f t="shared" si="5"/>
        <v>0</v>
      </c>
      <c r="T181" s="5"/>
    </row>
    <row r="182" spans="1:20" x14ac:dyDescent="0.25">
      <c r="A182" s="3" t="s">
        <v>267</v>
      </c>
      <c r="B182" s="3" t="s">
        <v>258</v>
      </c>
      <c r="C182" s="3">
        <v>5</v>
      </c>
      <c r="D182" s="3">
        <v>1</v>
      </c>
      <c r="E182" s="2" t="s">
        <v>415</v>
      </c>
      <c r="F182" s="3">
        <v>2</v>
      </c>
      <c r="G182" s="4" t="s">
        <v>557</v>
      </c>
      <c r="H182" s="4"/>
      <c r="I182" s="4"/>
      <c r="J182" s="4"/>
      <c r="K182" s="4"/>
      <c r="L182" s="3">
        <f t="shared" si="4"/>
        <v>2</v>
      </c>
      <c r="M182" s="4"/>
      <c r="N182" s="4"/>
      <c r="O182" s="4"/>
      <c r="P182" s="4"/>
      <c r="Q182" s="4"/>
      <c r="R182" s="4"/>
      <c r="S182" s="3">
        <f t="shared" si="5"/>
        <v>0</v>
      </c>
      <c r="T182" s="5"/>
    </row>
    <row r="183" spans="1:20" x14ac:dyDescent="0.25">
      <c r="A183" s="3" t="s">
        <v>267</v>
      </c>
      <c r="B183" s="3" t="s">
        <v>258</v>
      </c>
      <c r="C183" s="3">
        <v>5</v>
      </c>
      <c r="D183" s="3">
        <v>2</v>
      </c>
      <c r="E183" s="2" t="s">
        <v>438</v>
      </c>
      <c r="F183" s="3">
        <v>3</v>
      </c>
      <c r="G183" s="4" t="s">
        <v>557</v>
      </c>
      <c r="H183" s="4"/>
      <c r="I183" s="4"/>
      <c r="J183" s="4"/>
      <c r="K183" s="4"/>
      <c r="L183" s="3">
        <f t="shared" si="4"/>
        <v>3</v>
      </c>
      <c r="M183" s="4"/>
      <c r="N183" s="4"/>
      <c r="O183" s="4"/>
      <c r="P183" s="4"/>
      <c r="Q183" s="4"/>
      <c r="R183" s="4"/>
      <c r="S183" s="3">
        <f t="shared" si="5"/>
        <v>0</v>
      </c>
      <c r="T183" s="5"/>
    </row>
    <row r="184" spans="1:20" x14ac:dyDescent="0.25">
      <c r="A184" s="3" t="s">
        <v>267</v>
      </c>
      <c r="B184" s="3" t="s">
        <v>258</v>
      </c>
      <c r="C184" s="3">
        <v>5</v>
      </c>
      <c r="D184" s="3">
        <v>3</v>
      </c>
      <c r="E184" s="2" t="s">
        <v>462</v>
      </c>
      <c r="F184" s="3">
        <v>4</v>
      </c>
      <c r="G184" s="4" t="s">
        <v>557</v>
      </c>
      <c r="H184" s="4"/>
      <c r="I184" s="4"/>
      <c r="J184" s="4"/>
      <c r="K184" s="4"/>
      <c r="L184" s="3">
        <f t="shared" si="4"/>
        <v>4</v>
      </c>
      <c r="M184" s="4"/>
      <c r="N184" s="4"/>
      <c r="O184" s="4"/>
      <c r="P184" s="4"/>
      <c r="Q184" s="4"/>
      <c r="R184" s="4"/>
      <c r="S184" s="3">
        <f t="shared" si="5"/>
        <v>0</v>
      </c>
      <c r="T184" s="5"/>
    </row>
    <row r="185" spans="1:20" x14ac:dyDescent="0.25">
      <c r="A185" s="3" t="s">
        <v>267</v>
      </c>
      <c r="B185" s="3" t="s">
        <v>258</v>
      </c>
      <c r="C185" s="3">
        <v>5</v>
      </c>
      <c r="D185" s="3">
        <v>4</v>
      </c>
      <c r="E185" s="2" t="s">
        <v>440</v>
      </c>
      <c r="F185" s="3">
        <v>3</v>
      </c>
      <c r="G185" s="4" t="s">
        <v>557</v>
      </c>
      <c r="H185" s="4"/>
      <c r="I185" s="4"/>
      <c r="J185" s="4"/>
      <c r="K185" s="4"/>
      <c r="L185" s="3">
        <f t="shared" si="4"/>
        <v>3</v>
      </c>
      <c r="M185" s="4"/>
      <c r="N185" s="4"/>
      <c r="O185" s="4"/>
      <c r="P185" s="4"/>
      <c r="Q185" s="4"/>
      <c r="R185" s="4"/>
      <c r="S185" s="3">
        <f t="shared" si="5"/>
        <v>0</v>
      </c>
      <c r="T185" s="5"/>
    </row>
    <row r="186" spans="1:20" x14ac:dyDescent="0.25">
      <c r="A186" s="3" t="s">
        <v>267</v>
      </c>
      <c r="B186" s="3" t="s">
        <v>258</v>
      </c>
      <c r="C186" s="3">
        <v>5</v>
      </c>
      <c r="D186" s="3">
        <v>5</v>
      </c>
      <c r="E186" s="2" t="s">
        <v>429</v>
      </c>
      <c r="F186" s="3">
        <v>4</v>
      </c>
      <c r="G186" s="4" t="s">
        <v>557</v>
      </c>
      <c r="H186" s="4"/>
      <c r="I186" s="4"/>
      <c r="J186" s="4"/>
      <c r="K186" s="4"/>
      <c r="L186" s="3">
        <f t="shared" si="4"/>
        <v>4</v>
      </c>
      <c r="M186" s="4"/>
      <c r="N186" s="4"/>
      <c r="O186" s="4"/>
      <c r="P186" s="4"/>
      <c r="Q186" s="4"/>
      <c r="R186" s="4"/>
      <c r="S186" s="3">
        <f t="shared" si="5"/>
        <v>0</v>
      </c>
      <c r="T186" s="5"/>
    </row>
    <row r="187" spans="1:20" x14ac:dyDescent="0.25">
      <c r="A187" s="3" t="s">
        <v>267</v>
      </c>
      <c r="B187" s="3" t="s">
        <v>258</v>
      </c>
      <c r="C187" s="3">
        <v>5</v>
      </c>
      <c r="D187" s="3">
        <v>6</v>
      </c>
      <c r="E187" s="2" t="s">
        <v>457</v>
      </c>
      <c r="F187" s="3">
        <v>3</v>
      </c>
      <c r="G187" s="4" t="s">
        <v>557</v>
      </c>
      <c r="H187" s="4"/>
      <c r="I187" s="4"/>
      <c r="J187" s="4"/>
      <c r="K187" s="4"/>
      <c r="L187" s="3">
        <f t="shared" si="4"/>
        <v>3</v>
      </c>
      <c r="M187" s="4"/>
      <c r="N187" s="4"/>
      <c r="O187" s="4"/>
      <c r="P187" s="4"/>
      <c r="Q187" s="4"/>
      <c r="R187" s="4"/>
      <c r="S187" s="3">
        <f t="shared" si="5"/>
        <v>0</v>
      </c>
      <c r="T187" s="5"/>
    </row>
    <row r="188" spans="1:20" x14ac:dyDescent="0.25">
      <c r="A188" s="3" t="s">
        <v>267</v>
      </c>
      <c r="B188" s="3" t="s">
        <v>258</v>
      </c>
      <c r="C188" s="3">
        <v>5</v>
      </c>
      <c r="D188" s="3">
        <v>7</v>
      </c>
      <c r="E188" s="2" t="s">
        <v>443</v>
      </c>
      <c r="F188" s="3">
        <v>3</v>
      </c>
      <c r="G188" s="4" t="s">
        <v>557</v>
      </c>
      <c r="H188" s="4"/>
      <c r="I188" s="4"/>
      <c r="J188" s="4"/>
      <c r="K188" s="4"/>
      <c r="L188" s="3">
        <f t="shared" si="4"/>
        <v>3</v>
      </c>
      <c r="M188" s="4"/>
      <c r="N188" s="4"/>
      <c r="O188" s="4"/>
      <c r="P188" s="4"/>
      <c r="Q188" s="4"/>
      <c r="R188" s="4"/>
      <c r="S188" s="3">
        <f t="shared" si="5"/>
        <v>0</v>
      </c>
      <c r="T188" s="5"/>
    </row>
    <row r="189" spans="1:20" x14ac:dyDescent="0.25">
      <c r="A189" s="3" t="s">
        <v>267</v>
      </c>
      <c r="B189" s="3" t="s">
        <v>258</v>
      </c>
      <c r="C189" s="3">
        <v>5</v>
      </c>
      <c r="D189" s="3">
        <v>8</v>
      </c>
      <c r="E189" s="2" t="s">
        <v>463</v>
      </c>
      <c r="F189" s="3">
        <v>3</v>
      </c>
      <c r="G189" s="4" t="s">
        <v>557</v>
      </c>
      <c r="H189" s="4"/>
      <c r="I189" s="4"/>
      <c r="J189" s="4"/>
      <c r="K189" s="4"/>
      <c r="L189" s="3">
        <f t="shared" si="4"/>
        <v>3</v>
      </c>
      <c r="M189" s="4"/>
      <c r="N189" s="4"/>
      <c r="O189" s="4"/>
      <c r="P189" s="4"/>
      <c r="Q189" s="4"/>
      <c r="R189" s="4"/>
      <c r="S189" s="3">
        <f t="shared" si="5"/>
        <v>0</v>
      </c>
      <c r="T189" s="5"/>
    </row>
    <row r="190" spans="1:20" x14ac:dyDescent="0.25">
      <c r="A190" s="3" t="s">
        <v>267</v>
      </c>
      <c r="B190" s="3" t="s">
        <v>258</v>
      </c>
      <c r="C190" s="3">
        <v>5</v>
      </c>
      <c r="D190" s="3">
        <v>9</v>
      </c>
      <c r="E190" s="2" t="s">
        <v>445</v>
      </c>
      <c r="F190" s="3">
        <v>4</v>
      </c>
      <c r="G190" s="4" t="s">
        <v>557</v>
      </c>
      <c r="H190" s="4"/>
      <c r="I190" s="4"/>
      <c r="J190" s="4"/>
      <c r="K190" s="4"/>
      <c r="L190" s="3">
        <f t="shared" si="4"/>
        <v>4</v>
      </c>
      <c r="M190" s="4"/>
      <c r="N190" s="4"/>
      <c r="O190" s="4"/>
      <c r="P190" s="4"/>
      <c r="Q190" s="4"/>
      <c r="R190" s="4"/>
      <c r="S190" s="3">
        <f t="shared" si="5"/>
        <v>0</v>
      </c>
      <c r="T190" s="5"/>
    </row>
    <row r="191" spans="1:20" x14ac:dyDescent="0.25">
      <c r="A191" s="3" t="s">
        <v>267</v>
      </c>
      <c r="B191" s="3" t="s">
        <v>258</v>
      </c>
      <c r="C191" s="3">
        <v>5</v>
      </c>
      <c r="D191" s="3">
        <v>10</v>
      </c>
      <c r="E191" s="2" t="s">
        <v>446</v>
      </c>
      <c r="F191" s="3">
        <v>7</v>
      </c>
      <c r="G191" s="4" t="s">
        <v>557</v>
      </c>
      <c r="H191" s="4"/>
      <c r="I191" s="4"/>
      <c r="J191" s="4"/>
      <c r="K191" s="4"/>
      <c r="L191" s="3">
        <f t="shared" si="4"/>
        <v>7</v>
      </c>
      <c r="M191" s="4"/>
      <c r="N191" s="4"/>
      <c r="O191" s="4"/>
      <c r="P191" s="4"/>
      <c r="Q191" s="4"/>
      <c r="R191" s="4"/>
      <c r="S191" s="3">
        <f t="shared" si="5"/>
        <v>0</v>
      </c>
      <c r="T191" s="5"/>
    </row>
    <row r="192" spans="1:20" ht="28.5" x14ac:dyDescent="0.25">
      <c r="A192" s="3" t="s">
        <v>267</v>
      </c>
      <c r="B192" s="3" t="s">
        <v>258</v>
      </c>
      <c r="C192" s="3">
        <v>5</v>
      </c>
      <c r="D192" s="3">
        <v>11</v>
      </c>
      <c r="E192" s="2" t="s">
        <v>464</v>
      </c>
      <c r="F192" s="3">
        <v>8</v>
      </c>
      <c r="G192" s="4" t="s">
        <v>558</v>
      </c>
      <c r="H192" s="4"/>
      <c r="I192" s="4"/>
      <c r="J192" s="4">
        <v>1</v>
      </c>
      <c r="K192" s="4"/>
      <c r="L192" s="3">
        <f t="shared" si="4"/>
        <v>7</v>
      </c>
      <c r="M192" s="4"/>
      <c r="N192" s="4"/>
      <c r="O192" s="4"/>
      <c r="P192" s="4"/>
      <c r="Q192" s="4"/>
      <c r="R192" s="4"/>
      <c r="S192" s="3">
        <f t="shared" si="5"/>
        <v>0</v>
      </c>
      <c r="T192" s="5"/>
    </row>
    <row r="193" spans="1:20" ht="28.5" x14ac:dyDescent="0.25">
      <c r="A193" s="3" t="s">
        <v>267</v>
      </c>
      <c r="B193" s="3" t="s">
        <v>258</v>
      </c>
      <c r="C193" s="3">
        <v>5</v>
      </c>
      <c r="D193" s="3">
        <v>12</v>
      </c>
      <c r="E193" s="2" t="s">
        <v>465</v>
      </c>
      <c r="F193" s="3">
        <v>11</v>
      </c>
      <c r="G193" s="4" t="s">
        <v>557</v>
      </c>
      <c r="H193" s="4"/>
      <c r="I193" s="4"/>
      <c r="J193" s="4"/>
      <c r="K193" s="4"/>
      <c r="L193" s="3">
        <f t="shared" si="4"/>
        <v>11</v>
      </c>
      <c r="M193" s="4"/>
      <c r="N193" s="4"/>
      <c r="O193" s="4"/>
      <c r="P193" s="4"/>
      <c r="Q193" s="4"/>
      <c r="R193" s="4"/>
      <c r="S193" s="3">
        <f t="shared" si="5"/>
        <v>0</v>
      </c>
      <c r="T193" s="5"/>
    </row>
    <row r="194" spans="1:20" ht="57" x14ac:dyDescent="0.25">
      <c r="A194" s="3" t="s">
        <v>269</v>
      </c>
      <c r="B194" s="3" t="s">
        <v>270</v>
      </c>
      <c r="C194" s="3">
        <v>1</v>
      </c>
      <c r="D194" s="3">
        <v>1</v>
      </c>
      <c r="E194" s="2" t="s">
        <v>466</v>
      </c>
      <c r="F194" s="3">
        <v>14</v>
      </c>
      <c r="G194" s="4" t="s">
        <v>558</v>
      </c>
      <c r="H194" s="4">
        <v>1</v>
      </c>
      <c r="I194" s="4">
        <v>2</v>
      </c>
      <c r="J194" s="4">
        <v>4</v>
      </c>
      <c r="K194" s="4"/>
      <c r="L194" s="3">
        <f t="shared" ref="L194:L236" si="6">F194-(H194+I194+J194+K194)</f>
        <v>7</v>
      </c>
      <c r="M194" s="4"/>
      <c r="N194" s="4"/>
      <c r="O194" s="4"/>
      <c r="P194" s="4"/>
      <c r="Q194" s="4"/>
      <c r="R194" s="4"/>
      <c r="S194" s="3">
        <f t="shared" ref="S194:S236" si="7">N194+O194+P194+Q194+R194</f>
        <v>0</v>
      </c>
      <c r="T194" s="5"/>
    </row>
    <row r="195" spans="1:20" ht="42.75" x14ac:dyDescent="0.25">
      <c r="A195" s="3" t="s">
        <v>269</v>
      </c>
      <c r="B195" s="3" t="s">
        <v>270</v>
      </c>
      <c r="C195" s="3">
        <v>1</v>
      </c>
      <c r="D195" s="3">
        <v>2</v>
      </c>
      <c r="E195" s="2" t="s">
        <v>467</v>
      </c>
      <c r="F195" s="3">
        <v>15</v>
      </c>
      <c r="G195" s="4" t="s">
        <v>558</v>
      </c>
      <c r="H195" s="4">
        <v>2</v>
      </c>
      <c r="I195" s="4">
        <v>3</v>
      </c>
      <c r="J195" s="4"/>
      <c r="K195" s="4">
        <v>1</v>
      </c>
      <c r="L195" s="3">
        <f t="shared" si="6"/>
        <v>9</v>
      </c>
      <c r="M195" s="4"/>
      <c r="N195" s="4">
        <v>1</v>
      </c>
      <c r="O195" s="4"/>
      <c r="P195" s="4"/>
      <c r="Q195" s="4"/>
      <c r="R195" s="4"/>
      <c r="S195" s="3">
        <f t="shared" si="7"/>
        <v>1</v>
      </c>
      <c r="T195" s="5"/>
    </row>
    <row r="196" spans="1:20" x14ac:dyDescent="0.25">
      <c r="A196" s="3" t="s">
        <v>273</v>
      </c>
      <c r="B196" s="3" t="s">
        <v>270</v>
      </c>
      <c r="C196" s="3">
        <v>2</v>
      </c>
      <c r="D196" s="3">
        <v>1</v>
      </c>
      <c r="E196" s="2" t="s">
        <v>468</v>
      </c>
      <c r="F196" s="3">
        <v>2</v>
      </c>
      <c r="G196" s="4" t="s">
        <v>557</v>
      </c>
      <c r="H196" s="4"/>
      <c r="I196" s="4"/>
      <c r="J196" s="4"/>
      <c r="K196" s="4"/>
      <c r="L196" s="3">
        <f t="shared" si="6"/>
        <v>2</v>
      </c>
      <c r="M196" s="4"/>
      <c r="N196" s="4"/>
      <c r="O196" s="4"/>
      <c r="P196" s="4"/>
      <c r="Q196" s="4"/>
      <c r="R196" s="4"/>
      <c r="S196" s="3">
        <f t="shared" si="7"/>
        <v>0</v>
      </c>
      <c r="T196" s="5"/>
    </row>
    <row r="197" spans="1:20" ht="57" x14ac:dyDescent="0.25">
      <c r="A197" s="3" t="s">
        <v>273</v>
      </c>
      <c r="B197" s="3" t="s">
        <v>270</v>
      </c>
      <c r="C197" s="3">
        <v>2</v>
      </c>
      <c r="D197" s="3">
        <v>2</v>
      </c>
      <c r="E197" s="2" t="s">
        <v>469</v>
      </c>
      <c r="F197" s="3">
        <v>17</v>
      </c>
      <c r="G197" s="4" t="s">
        <v>558</v>
      </c>
      <c r="H197" s="4">
        <v>3</v>
      </c>
      <c r="I197" s="4">
        <v>2</v>
      </c>
      <c r="J197" s="4">
        <v>1</v>
      </c>
      <c r="K197" s="4"/>
      <c r="L197" s="3">
        <f t="shared" si="6"/>
        <v>11</v>
      </c>
      <c r="M197" s="4"/>
      <c r="N197" s="4"/>
      <c r="O197" s="4"/>
      <c r="P197" s="4"/>
      <c r="Q197" s="4"/>
      <c r="R197" s="4"/>
      <c r="S197" s="3">
        <f t="shared" si="7"/>
        <v>0</v>
      </c>
      <c r="T197" s="5"/>
    </row>
    <row r="198" spans="1:20" ht="57" x14ac:dyDescent="0.25">
      <c r="A198" s="3" t="s">
        <v>273</v>
      </c>
      <c r="B198" s="3" t="s">
        <v>270</v>
      </c>
      <c r="C198" s="3">
        <v>2</v>
      </c>
      <c r="D198" s="3">
        <v>3</v>
      </c>
      <c r="E198" s="2" t="s">
        <v>470</v>
      </c>
      <c r="F198" s="3">
        <v>23</v>
      </c>
      <c r="G198" s="4" t="s">
        <v>558</v>
      </c>
      <c r="H198" s="4">
        <v>2</v>
      </c>
      <c r="I198" s="4">
        <v>2</v>
      </c>
      <c r="J198" s="4"/>
      <c r="K198" s="4"/>
      <c r="L198" s="3">
        <f t="shared" si="6"/>
        <v>19</v>
      </c>
      <c r="M198" s="4"/>
      <c r="N198" s="4"/>
      <c r="O198" s="4"/>
      <c r="P198" s="4"/>
      <c r="Q198" s="4"/>
      <c r="R198" s="4"/>
      <c r="S198" s="3">
        <f t="shared" si="7"/>
        <v>0</v>
      </c>
      <c r="T198" s="5"/>
    </row>
    <row r="199" spans="1:20" ht="42.75" x14ac:dyDescent="0.25">
      <c r="A199" s="3" t="s">
        <v>275</v>
      </c>
      <c r="B199" s="3" t="s">
        <v>270</v>
      </c>
      <c r="C199" s="3">
        <v>3</v>
      </c>
      <c r="D199" s="3">
        <v>1</v>
      </c>
      <c r="E199" s="2" t="s">
        <v>471</v>
      </c>
      <c r="F199" s="3">
        <v>14</v>
      </c>
      <c r="G199" s="4" t="s">
        <v>558</v>
      </c>
      <c r="H199" s="4">
        <v>2</v>
      </c>
      <c r="I199" s="4"/>
      <c r="J199" s="4"/>
      <c r="K199" s="4"/>
      <c r="L199" s="3">
        <f t="shared" si="6"/>
        <v>12</v>
      </c>
      <c r="M199" s="4"/>
      <c r="N199" s="4"/>
      <c r="O199" s="4"/>
      <c r="P199" s="4"/>
      <c r="Q199" s="4"/>
      <c r="R199" s="4"/>
      <c r="S199" s="3">
        <f t="shared" si="7"/>
        <v>0</v>
      </c>
      <c r="T199" s="5"/>
    </row>
    <row r="200" spans="1:20" ht="28.5" x14ac:dyDescent="0.25">
      <c r="A200" s="3" t="s">
        <v>275</v>
      </c>
      <c r="B200" s="3" t="s">
        <v>270</v>
      </c>
      <c r="C200" s="3">
        <v>3</v>
      </c>
      <c r="D200" s="3">
        <v>2</v>
      </c>
      <c r="E200" s="2" t="s">
        <v>472</v>
      </c>
      <c r="F200" s="3">
        <v>14</v>
      </c>
      <c r="G200" s="4" t="s">
        <v>558</v>
      </c>
      <c r="H200" s="4">
        <v>2</v>
      </c>
      <c r="I200" s="4"/>
      <c r="J200" s="4"/>
      <c r="K200" s="4"/>
      <c r="L200" s="3">
        <f t="shared" si="6"/>
        <v>12</v>
      </c>
      <c r="M200" s="4"/>
      <c r="N200" s="4"/>
      <c r="O200" s="4"/>
      <c r="P200" s="4"/>
      <c r="Q200" s="4"/>
      <c r="R200" s="4"/>
      <c r="S200" s="3">
        <f t="shared" si="7"/>
        <v>0</v>
      </c>
      <c r="T200" s="5"/>
    </row>
    <row r="201" spans="1:20" ht="57" x14ac:dyDescent="0.25">
      <c r="A201" s="3" t="s">
        <v>277</v>
      </c>
      <c r="B201" s="3" t="s">
        <v>270</v>
      </c>
      <c r="C201" s="3">
        <v>4</v>
      </c>
      <c r="D201" s="3">
        <v>1</v>
      </c>
      <c r="E201" s="2" t="s">
        <v>473</v>
      </c>
      <c r="F201" s="3">
        <v>22</v>
      </c>
      <c r="G201" s="4" t="s">
        <v>558</v>
      </c>
      <c r="H201" s="4"/>
      <c r="I201" s="4"/>
      <c r="J201" s="4"/>
      <c r="K201" s="4">
        <v>1</v>
      </c>
      <c r="L201" s="3">
        <f t="shared" si="6"/>
        <v>21</v>
      </c>
      <c r="M201" s="4"/>
      <c r="N201" s="4">
        <v>1</v>
      </c>
      <c r="O201" s="4"/>
      <c r="P201" s="4"/>
      <c r="Q201" s="4"/>
      <c r="R201" s="4"/>
      <c r="S201" s="3">
        <f t="shared" si="7"/>
        <v>1</v>
      </c>
      <c r="T201" s="5"/>
    </row>
    <row r="202" spans="1:20" ht="57" x14ac:dyDescent="0.25">
      <c r="A202" s="3" t="s">
        <v>277</v>
      </c>
      <c r="B202" s="3" t="s">
        <v>270</v>
      </c>
      <c r="C202" s="3">
        <v>4</v>
      </c>
      <c r="D202" s="3">
        <v>2</v>
      </c>
      <c r="E202" s="2" t="s">
        <v>474</v>
      </c>
      <c r="F202" s="3">
        <v>25</v>
      </c>
      <c r="G202" s="4" t="s">
        <v>558</v>
      </c>
      <c r="H202" s="4">
        <v>2</v>
      </c>
      <c r="I202" s="4"/>
      <c r="J202" s="4"/>
      <c r="K202" s="4"/>
      <c r="L202" s="3">
        <f t="shared" si="6"/>
        <v>23</v>
      </c>
      <c r="M202" s="4"/>
      <c r="N202" s="4"/>
      <c r="O202" s="4"/>
      <c r="P202" s="4"/>
      <c r="Q202" s="4"/>
      <c r="R202" s="4"/>
      <c r="S202" s="3">
        <f t="shared" si="7"/>
        <v>0</v>
      </c>
      <c r="T202" s="5"/>
    </row>
    <row r="203" spans="1:20" ht="42.75" x14ac:dyDescent="0.25">
      <c r="A203" s="3" t="s">
        <v>279</v>
      </c>
      <c r="B203" s="3" t="s">
        <v>270</v>
      </c>
      <c r="C203" s="3">
        <v>5</v>
      </c>
      <c r="D203" s="3">
        <v>1</v>
      </c>
      <c r="E203" s="2" t="s">
        <v>475</v>
      </c>
      <c r="F203" s="3">
        <v>14</v>
      </c>
      <c r="G203" s="4" t="s">
        <v>558</v>
      </c>
      <c r="H203" s="4">
        <v>1</v>
      </c>
      <c r="I203" s="4">
        <v>1</v>
      </c>
      <c r="J203" s="4"/>
      <c r="K203" s="4"/>
      <c r="L203" s="3">
        <f t="shared" si="6"/>
        <v>12</v>
      </c>
      <c r="M203" s="4"/>
      <c r="N203" s="4"/>
      <c r="O203" s="4"/>
      <c r="P203" s="4"/>
      <c r="Q203" s="4"/>
      <c r="R203" s="4"/>
      <c r="S203" s="3">
        <f t="shared" si="7"/>
        <v>0</v>
      </c>
      <c r="T203" s="5"/>
    </row>
    <row r="204" spans="1:20" ht="28.5" x14ac:dyDescent="0.25">
      <c r="A204" s="3" t="s">
        <v>279</v>
      </c>
      <c r="B204" s="3" t="s">
        <v>270</v>
      </c>
      <c r="C204" s="3">
        <v>5</v>
      </c>
      <c r="D204" s="3">
        <v>2</v>
      </c>
      <c r="E204" s="2" t="s">
        <v>476</v>
      </c>
      <c r="F204" s="3">
        <v>12</v>
      </c>
      <c r="G204" s="4" t="s">
        <v>558</v>
      </c>
      <c r="H204" s="4">
        <v>2</v>
      </c>
      <c r="I204" s="4"/>
      <c r="J204" s="4"/>
      <c r="K204" s="4"/>
      <c r="L204" s="3">
        <f t="shared" si="6"/>
        <v>10</v>
      </c>
      <c r="M204" s="4"/>
      <c r="N204" s="4"/>
      <c r="O204" s="4"/>
      <c r="P204" s="4"/>
      <c r="Q204" s="4"/>
      <c r="R204" s="4"/>
      <c r="S204" s="3">
        <f t="shared" si="7"/>
        <v>0</v>
      </c>
      <c r="T204" s="5"/>
    </row>
    <row r="205" spans="1:20" ht="28.5" x14ac:dyDescent="0.25">
      <c r="A205" s="3" t="s">
        <v>281</v>
      </c>
      <c r="B205" s="3" t="s">
        <v>282</v>
      </c>
      <c r="C205" s="3">
        <v>1</v>
      </c>
      <c r="D205" s="3">
        <v>1</v>
      </c>
      <c r="E205" s="2" t="s">
        <v>477</v>
      </c>
      <c r="F205" s="3">
        <v>2</v>
      </c>
      <c r="G205" s="4" t="s">
        <v>558</v>
      </c>
      <c r="H205" s="4">
        <v>1</v>
      </c>
      <c r="I205" s="4"/>
      <c r="J205" s="4"/>
      <c r="K205" s="4"/>
      <c r="L205" s="3">
        <f t="shared" si="6"/>
        <v>1</v>
      </c>
      <c r="M205" s="4"/>
      <c r="N205" s="4"/>
      <c r="O205" s="4"/>
      <c r="P205" s="4"/>
      <c r="Q205" s="4"/>
      <c r="R205" s="4"/>
      <c r="S205" s="3">
        <f t="shared" si="7"/>
        <v>0</v>
      </c>
      <c r="T205" s="5"/>
    </row>
    <row r="206" spans="1:20" ht="42.75" x14ac:dyDescent="0.25">
      <c r="A206" s="3" t="s">
        <v>281</v>
      </c>
      <c r="B206" s="3" t="s">
        <v>282</v>
      </c>
      <c r="C206" s="3">
        <v>1</v>
      </c>
      <c r="D206" s="3">
        <v>2</v>
      </c>
      <c r="E206" s="2" t="s">
        <v>478</v>
      </c>
      <c r="F206" s="3">
        <v>11</v>
      </c>
      <c r="G206" s="4" t="s">
        <v>558</v>
      </c>
      <c r="H206" s="4"/>
      <c r="I206" s="4"/>
      <c r="J206" s="4">
        <v>1</v>
      </c>
      <c r="K206" s="4"/>
      <c r="L206" s="3">
        <f t="shared" si="6"/>
        <v>10</v>
      </c>
      <c r="M206" s="4"/>
      <c r="N206" s="4"/>
      <c r="O206" s="4"/>
      <c r="P206" s="4"/>
      <c r="Q206" s="4"/>
      <c r="R206" s="4"/>
      <c r="S206" s="3">
        <f t="shared" si="7"/>
        <v>0</v>
      </c>
      <c r="T206" s="5"/>
    </row>
    <row r="207" spans="1:20" ht="28.5" x14ac:dyDescent="0.25">
      <c r="A207" s="3" t="s">
        <v>281</v>
      </c>
      <c r="B207" s="3" t="s">
        <v>282</v>
      </c>
      <c r="C207" s="3">
        <v>1</v>
      </c>
      <c r="D207" s="3">
        <v>3</v>
      </c>
      <c r="E207" s="2" t="s">
        <v>479</v>
      </c>
      <c r="F207" s="3">
        <v>7</v>
      </c>
      <c r="G207" s="4" t="s">
        <v>559</v>
      </c>
      <c r="H207" s="4"/>
      <c r="I207" s="4">
        <v>2</v>
      </c>
      <c r="J207" s="4">
        <v>3</v>
      </c>
      <c r="K207" s="4"/>
      <c r="L207" s="3">
        <f t="shared" si="6"/>
        <v>2</v>
      </c>
      <c r="M207" s="4"/>
      <c r="N207" s="4"/>
      <c r="O207" s="4"/>
      <c r="P207" s="4"/>
      <c r="Q207" s="4"/>
      <c r="R207" s="4"/>
      <c r="S207" s="3">
        <f t="shared" si="7"/>
        <v>0</v>
      </c>
      <c r="T207" s="5"/>
    </row>
    <row r="208" spans="1:20" ht="28.5" x14ac:dyDescent="0.25">
      <c r="A208" s="3" t="s">
        <v>281</v>
      </c>
      <c r="B208" s="3" t="s">
        <v>282</v>
      </c>
      <c r="C208" s="3">
        <v>1</v>
      </c>
      <c r="D208" s="3">
        <v>4</v>
      </c>
      <c r="E208" s="2" t="s">
        <v>480</v>
      </c>
      <c r="F208" s="3">
        <v>7</v>
      </c>
      <c r="G208" s="4" t="s">
        <v>558</v>
      </c>
      <c r="H208" s="4">
        <v>2</v>
      </c>
      <c r="I208" s="4"/>
      <c r="J208" s="4"/>
      <c r="K208" s="4"/>
      <c r="L208" s="3">
        <f t="shared" si="6"/>
        <v>5</v>
      </c>
      <c r="M208" s="4"/>
      <c r="N208" s="4"/>
      <c r="O208" s="4"/>
      <c r="P208" s="4"/>
      <c r="Q208" s="4"/>
      <c r="R208" s="4"/>
      <c r="S208" s="3">
        <f t="shared" si="7"/>
        <v>0</v>
      </c>
      <c r="T208" s="5"/>
    </row>
    <row r="209" spans="1:20" x14ac:dyDescent="0.25">
      <c r="A209" s="3" t="s">
        <v>285</v>
      </c>
      <c r="B209" s="3" t="s">
        <v>282</v>
      </c>
      <c r="C209" s="3">
        <v>2</v>
      </c>
      <c r="D209" s="3">
        <v>1</v>
      </c>
      <c r="E209" s="2" t="s">
        <v>481</v>
      </c>
      <c r="F209" s="3">
        <v>4</v>
      </c>
      <c r="G209" s="4" t="s">
        <v>557</v>
      </c>
      <c r="H209" s="4"/>
      <c r="I209" s="4"/>
      <c r="J209" s="4"/>
      <c r="K209" s="4"/>
      <c r="L209" s="3">
        <f t="shared" si="6"/>
        <v>4</v>
      </c>
      <c r="M209" s="4"/>
      <c r="N209" s="4"/>
      <c r="O209" s="4"/>
      <c r="P209" s="4"/>
      <c r="Q209" s="4"/>
      <c r="R209" s="4"/>
      <c r="S209" s="3">
        <f t="shared" si="7"/>
        <v>0</v>
      </c>
      <c r="T209" s="5"/>
    </row>
    <row r="210" spans="1:20" ht="71.25" x14ac:dyDescent="0.25">
      <c r="A210" s="3" t="s">
        <v>285</v>
      </c>
      <c r="B210" s="3" t="s">
        <v>282</v>
      </c>
      <c r="C210" s="3">
        <v>2</v>
      </c>
      <c r="D210" s="3">
        <v>2</v>
      </c>
      <c r="E210" s="2" t="s">
        <v>482</v>
      </c>
      <c r="F210" s="3">
        <v>23</v>
      </c>
      <c r="G210" s="4" t="s">
        <v>558</v>
      </c>
      <c r="H210" s="4">
        <v>2</v>
      </c>
      <c r="I210" s="4">
        <v>1</v>
      </c>
      <c r="J210" s="4"/>
      <c r="K210" s="4"/>
      <c r="L210" s="3">
        <f t="shared" si="6"/>
        <v>20</v>
      </c>
      <c r="M210" s="4"/>
      <c r="N210" s="4"/>
      <c r="O210" s="4"/>
      <c r="P210" s="4"/>
      <c r="Q210" s="4"/>
      <c r="R210" s="4"/>
      <c r="S210" s="3">
        <f t="shared" si="7"/>
        <v>0</v>
      </c>
      <c r="T210" s="5"/>
    </row>
    <row r="211" spans="1:20" ht="28.5" x14ac:dyDescent="0.25">
      <c r="A211" s="3" t="s">
        <v>285</v>
      </c>
      <c r="B211" s="3" t="s">
        <v>282</v>
      </c>
      <c r="C211" s="3">
        <v>2</v>
      </c>
      <c r="D211" s="3">
        <v>3</v>
      </c>
      <c r="E211" s="2" t="s">
        <v>483</v>
      </c>
      <c r="F211" s="3">
        <v>6</v>
      </c>
      <c r="G211" s="4" t="s">
        <v>558</v>
      </c>
      <c r="H211" s="4">
        <v>1</v>
      </c>
      <c r="I211" s="4"/>
      <c r="J211" s="4"/>
      <c r="K211" s="4"/>
      <c r="L211" s="3">
        <f t="shared" si="6"/>
        <v>5</v>
      </c>
      <c r="M211" s="4"/>
      <c r="N211" s="4"/>
      <c r="O211" s="4"/>
      <c r="P211" s="4"/>
      <c r="Q211" s="4"/>
      <c r="R211" s="4"/>
      <c r="S211" s="3">
        <f t="shared" si="7"/>
        <v>0</v>
      </c>
      <c r="T211" s="5"/>
    </row>
    <row r="212" spans="1:20" ht="28.5" x14ac:dyDescent="0.25">
      <c r="A212" s="3" t="s">
        <v>285</v>
      </c>
      <c r="B212" s="3" t="s">
        <v>282</v>
      </c>
      <c r="C212" s="3">
        <v>2</v>
      </c>
      <c r="D212" s="3">
        <v>4</v>
      </c>
      <c r="E212" s="2" t="s">
        <v>484</v>
      </c>
      <c r="F212" s="3">
        <v>2</v>
      </c>
      <c r="G212" s="4" t="s">
        <v>558</v>
      </c>
      <c r="H212" s="4"/>
      <c r="I212" s="4">
        <v>1</v>
      </c>
      <c r="J212" s="4"/>
      <c r="K212" s="4"/>
      <c r="L212" s="3">
        <f t="shared" si="6"/>
        <v>1</v>
      </c>
      <c r="M212" s="4"/>
      <c r="N212" s="4"/>
      <c r="O212" s="4"/>
      <c r="P212" s="4"/>
      <c r="Q212" s="4"/>
      <c r="R212" s="4"/>
      <c r="S212" s="3">
        <f t="shared" si="7"/>
        <v>0</v>
      </c>
      <c r="T212" s="5"/>
    </row>
    <row r="213" spans="1:20" ht="42.75" x14ac:dyDescent="0.25">
      <c r="A213" s="3" t="s">
        <v>285</v>
      </c>
      <c r="B213" s="3" t="s">
        <v>282</v>
      </c>
      <c r="C213" s="3">
        <v>2</v>
      </c>
      <c r="D213" s="3">
        <v>5</v>
      </c>
      <c r="E213" s="2" t="s">
        <v>485</v>
      </c>
      <c r="F213" s="3">
        <v>13</v>
      </c>
      <c r="G213" s="4" t="s">
        <v>558</v>
      </c>
      <c r="H213" s="4"/>
      <c r="I213" s="4">
        <v>1</v>
      </c>
      <c r="J213" s="4"/>
      <c r="K213" s="4"/>
      <c r="L213" s="3">
        <f t="shared" si="6"/>
        <v>12</v>
      </c>
      <c r="M213" s="4"/>
      <c r="N213" s="4"/>
      <c r="O213" s="4"/>
      <c r="P213" s="4"/>
      <c r="Q213" s="4"/>
      <c r="R213" s="4"/>
      <c r="S213" s="3">
        <f t="shared" si="7"/>
        <v>0</v>
      </c>
      <c r="T213" s="5"/>
    </row>
    <row r="214" spans="1:20" ht="42.75" x14ac:dyDescent="0.25">
      <c r="A214" s="3" t="s">
        <v>285</v>
      </c>
      <c r="B214" s="3" t="s">
        <v>282</v>
      </c>
      <c r="C214" s="3">
        <v>2</v>
      </c>
      <c r="D214" s="3">
        <v>6</v>
      </c>
      <c r="E214" s="2" t="s">
        <v>486</v>
      </c>
      <c r="F214" s="3">
        <v>11</v>
      </c>
      <c r="G214" s="4" t="s">
        <v>558</v>
      </c>
      <c r="H214" s="4"/>
      <c r="I214" s="4"/>
      <c r="J214" s="4">
        <v>1</v>
      </c>
      <c r="K214" s="4"/>
      <c r="L214" s="3">
        <f t="shared" si="6"/>
        <v>10</v>
      </c>
      <c r="M214" s="4"/>
      <c r="N214" s="4"/>
      <c r="O214" s="4"/>
      <c r="P214" s="4"/>
      <c r="Q214" s="4"/>
      <c r="R214" s="4"/>
      <c r="S214" s="3">
        <f t="shared" si="7"/>
        <v>0</v>
      </c>
      <c r="T214" s="5"/>
    </row>
    <row r="215" spans="1:20" ht="28.5" x14ac:dyDescent="0.25">
      <c r="A215" s="3" t="s">
        <v>285</v>
      </c>
      <c r="B215" s="3" t="s">
        <v>282</v>
      </c>
      <c r="C215" s="3">
        <v>2</v>
      </c>
      <c r="D215" s="3">
        <v>7</v>
      </c>
      <c r="E215" s="2" t="s">
        <v>487</v>
      </c>
      <c r="F215" s="3">
        <v>9</v>
      </c>
      <c r="G215" s="4" t="s">
        <v>558</v>
      </c>
      <c r="H215" s="4"/>
      <c r="I215" s="4">
        <v>1</v>
      </c>
      <c r="J215" s="4"/>
      <c r="K215" s="4"/>
      <c r="L215" s="3">
        <f t="shared" si="6"/>
        <v>8</v>
      </c>
      <c r="M215" s="4"/>
      <c r="N215" s="4"/>
      <c r="O215" s="4"/>
      <c r="P215" s="4"/>
      <c r="Q215" s="4"/>
      <c r="R215" s="4"/>
      <c r="S215" s="3">
        <f t="shared" si="7"/>
        <v>0</v>
      </c>
      <c r="T215" s="5"/>
    </row>
    <row r="216" spans="1:20" ht="28.5" x14ac:dyDescent="0.25">
      <c r="A216" s="3" t="s">
        <v>287</v>
      </c>
      <c r="B216" s="3" t="s">
        <v>282</v>
      </c>
      <c r="C216" s="3">
        <v>3</v>
      </c>
      <c r="D216" s="3">
        <v>1</v>
      </c>
      <c r="E216" s="2" t="s">
        <v>488</v>
      </c>
      <c r="F216" s="3">
        <v>6</v>
      </c>
      <c r="G216" s="4" t="s">
        <v>558</v>
      </c>
      <c r="H216" s="4">
        <v>1</v>
      </c>
      <c r="I216" s="4"/>
      <c r="J216" s="4"/>
      <c r="K216" s="4"/>
      <c r="L216" s="3">
        <f t="shared" si="6"/>
        <v>5</v>
      </c>
      <c r="M216" s="4"/>
      <c r="N216" s="4"/>
      <c r="O216" s="4"/>
      <c r="P216" s="4"/>
      <c r="Q216" s="4"/>
      <c r="R216" s="4"/>
      <c r="S216" s="3">
        <f t="shared" si="7"/>
        <v>0</v>
      </c>
      <c r="T216" s="5"/>
    </row>
    <row r="217" spans="1:20" ht="114" x14ac:dyDescent="0.25">
      <c r="A217" s="3" t="s">
        <v>287</v>
      </c>
      <c r="B217" s="3" t="s">
        <v>282</v>
      </c>
      <c r="C217" s="3">
        <v>3</v>
      </c>
      <c r="D217" s="3">
        <v>2</v>
      </c>
      <c r="E217" s="2" t="s">
        <v>489</v>
      </c>
      <c r="F217" s="3">
        <v>21</v>
      </c>
      <c r="G217" s="4" t="s">
        <v>558</v>
      </c>
      <c r="H217" s="4">
        <v>3</v>
      </c>
      <c r="I217" s="4"/>
      <c r="J217" s="4">
        <v>2</v>
      </c>
      <c r="K217" s="4"/>
      <c r="L217" s="3">
        <f t="shared" si="6"/>
        <v>16</v>
      </c>
      <c r="M217" s="4"/>
      <c r="N217" s="4"/>
      <c r="O217" s="4"/>
      <c r="P217" s="4"/>
      <c r="Q217" s="4"/>
      <c r="R217" s="4"/>
      <c r="S217" s="3">
        <f t="shared" si="7"/>
        <v>0</v>
      </c>
      <c r="T217" s="5" t="s">
        <v>563</v>
      </c>
    </row>
    <row r="218" spans="1:20" ht="28.5" x14ac:dyDescent="0.25">
      <c r="A218" s="3" t="s">
        <v>287</v>
      </c>
      <c r="B218" s="3" t="s">
        <v>282</v>
      </c>
      <c r="C218" s="3">
        <v>3</v>
      </c>
      <c r="D218" s="3">
        <v>3</v>
      </c>
      <c r="E218" s="2" t="s">
        <v>490</v>
      </c>
      <c r="F218" s="3">
        <v>10</v>
      </c>
      <c r="G218" s="4" t="s">
        <v>558</v>
      </c>
      <c r="H218" s="4">
        <v>4</v>
      </c>
      <c r="I218" s="4"/>
      <c r="J218" s="4"/>
      <c r="K218" s="4"/>
      <c r="L218" s="3">
        <f t="shared" si="6"/>
        <v>6</v>
      </c>
      <c r="M218" s="4"/>
      <c r="N218" s="4"/>
      <c r="O218" s="4"/>
      <c r="P218" s="4"/>
      <c r="Q218" s="4"/>
      <c r="R218" s="4"/>
      <c r="S218" s="3">
        <f t="shared" si="7"/>
        <v>0</v>
      </c>
      <c r="T218" s="5"/>
    </row>
    <row r="219" spans="1:20" ht="57" x14ac:dyDescent="0.25">
      <c r="A219" s="3" t="s">
        <v>287</v>
      </c>
      <c r="B219" s="3" t="s">
        <v>282</v>
      </c>
      <c r="C219" s="3">
        <v>3</v>
      </c>
      <c r="D219" s="3">
        <v>4</v>
      </c>
      <c r="E219" s="2" t="s">
        <v>491</v>
      </c>
      <c r="F219" s="3">
        <v>23</v>
      </c>
      <c r="G219" s="4" t="s">
        <v>558</v>
      </c>
      <c r="H219" s="4">
        <v>2</v>
      </c>
      <c r="I219" s="4"/>
      <c r="J219" s="4"/>
      <c r="K219" s="4">
        <v>1</v>
      </c>
      <c r="L219" s="3">
        <f t="shared" si="6"/>
        <v>20</v>
      </c>
      <c r="M219" s="4"/>
      <c r="N219" s="4">
        <v>1</v>
      </c>
      <c r="O219" s="4"/>
      <c r="P219" s="4"/>
      <c r="Q219" s="4"/>
      <c r="R219" s="4"/>
      <c r="S219" s="3">
        <f t="shared" si="7"/>
        <v>1</v>
      </c>
      <c r="T219" s="5"/>
    </row>
    <row r="220" spans="1:20" x14ac:dyDescent="0.25">
      <c r="A220" s="3" t="s">
        <v>289</v>
      </c>
      <c r="B220" s="3" t="s">
        <v>282</v>
      </c>
      <c r="C220" s="3">
        <v>4</v>
      </c>
      <c r="D220" s="3">
        <v>1</v>
      </c>
      <c r="E220" s="2" t="s">
        <v>492</v>
      </c>
      <c r="F220" s="3">
        <v>3</v>
      </c>
      <c r="G220" s="4" t="s">
        <v>557</v>
      </c>
      <c r="H220" s="4"/>
      <c r="I220" s="4"/>
      <c r="J220" s="4"/>
      <c r="K220" s="4"/>
      <c r="L220" s="3">
        <f t="shared" si="6"/>
        <v>3</v>
      </c>
      <c r="M220" s="4"/>
      <c r="N220" s="4"/>
      <c r="O220" s="4"/>
      <c r="P220" s="4"/>
      <c r="Q220" s="4"/>
      <c r="R220" s="4"/>
      <c r="S220" s="3">
        <f t="shared" si="7"/>
        <v>0</v>
      </c>
      <c r="T220" s="5"/>
    </row>
    <row r="221" spans="1:20" ht="28.5" x14ac:dyDescent="0.25">
      <c r="A221" s="3" t="s">
        <v>289</v>
      </c>
      <c r="B221" s="3" t="s">
        <v>282</v>
      </c>
      <c r="C221" s="3">
        <v>4</v>
      </c>
      <c r="D221" s="3">
        <v>2</v>
      </c>
      <c r="E221" s="2" t="s">
        <v>493</v>
      </c>
      <c r="F221" s="3">
        <v>6</v>
      </c>
      <c r="G221" s="4" t="s">
        <v>558</v>
      </c>
      <c r="H221" s="4"/>
      <c r="I221" s="4">
        <v>1</v>
      </c>
      <c r="J221" s="4"/>
      <c r="K221" s="4"/>
      <c r="L221" s="3">
        <f t="shared" si="6"/>
        <v>5</v>
      </c>
      <c r="M221" s="4"/>
      <c r="N221" s="4"/>
      <c r="O221" s="4"/>
      <c r="P221" s="4"/>
      <c r="Q221" s="4"/>
      <c r="R221" s="4"/>
      <c r="S221" s="3">
        <f t="shared" si="7"/>
        <v>0</v>
      </c>
      <c r="T221" s="5"/>
    </row>
    <row r="222" spans="1:20" ht="28.5" x14ac:dyDescent="0.25">
      <c r="A222" s="3" t="s">
        <v>289</v>
      </c>
      <c r="B222" s="3" t="s">
        <v>282</v>
      </c>
      <c r="C222" s="3">
        <v>4</v>
      </c>
      <c r="D222" s="3">
        <v>3</v>
      </c>
      <c r="E222" s="2" t="s">
        <v>494</v>
      </c>
      <c r="F222" s="3">
        <v>5</v>
      </c>
      <c r="G222" s="4" t="s">
        <v>558</v>
      </c>
      <c r="H222" s="4">
        <v>1</v>
      </c>
      <c r="I222" s="4"/>
      <c r="J222" s="4"/>
      <c r="K222" s="4"/>
      <c r="L222" s="3">
        <f t="shared" si="6"/>
        <v>4</v>
      </c>
      <c r="M222" s="4"/>
      <c r="N222" s="4"/>
      <c r="O222" s="4"/>
      <c r="P222" s="4"/>
      <c r="Q222" s="4"/>
      <c r="R222" s="4"/>
      <c r="S222" s="3">
        <f t="shared" si="7"/>
        <v>0</v>
      </c>
      <c r="T222" s="5"/>
    </row>
    <row r="223" spans="1:20" ht="28.5" x14ac:dyDescent="0.25">
      <c r="A223" s="3" t="s">
        <v>289</v>
      </c>
      <c r="B223" s="3" t="s">
        <v>282</v>
      </c>
      <c r="C223" s="3">
        <v>4</v>
      </c>
      <c r="D223" s="3">
        <v>4</v>
      </c>
      <c r="E223" s="2" t="s">
        <v>495</v>
      </c>
      <c r="F223" s="3">
        <v>5</v>
      </c>
      <c r="G223" s="4" t="s">
        <v>558</v>
      </c>
      <c r="H223" s="4">
        <v>2</v>
      </c>
      <c r="I223" s="4"/>
      <c r="J223" s="4"/>
      <c r="K223" s="4">
        <v>1</v>
      </c>
      <c r="L223" s="3">
        <f t="shared" si="6"/>
        <v>2</v>
      </c>
      <c r="M223" s="4"/>
      <c r="N223" s="4">
        <v>1</v>
      </c>
      <c r="O223" s="4"/>
      <c r="P223" s="4"/>
      <c r="Q223" s="4"/>
      <c r="R223" s="4"/>
      <c r="S223" s="3">
        <f t="shared" si="7"/>
        <v>1</v>
      </c>
      <c r="T223" s="5"/>
    </row>
    <row r="224" spans="1:20" ht="28.5" x14ac:dyDescent="0.25">
      <c r="A224" s="3" t="s">
        <v>289</v>
      </c>
      <c r="B224" s="3" t="s">
        <v>282</v>
      </c>
      <c r="C224" s="3">
        <v>4</v>
      </c>
      <c r="D224" s="3">
        <v>5</v>
      </c>
      <c r="E224" s="2" t="s">
        <v>496</v>
      </c>
      <c r="F224" s="3">
        <v>3</v>
      </c>
      <c r="G224" s="4" t="s">
        <v>558</v>
      </c>
      <c r="H224" s="4">
        <v>1</v>
      </c>
      <c r="I224" s="4"/>
      <c r="J224" s="4"/>
      <c r="K224" s="4"/>
      <c r="L224" s="3">
        <f t="shared" si="6"/>
        <v>2</v>
      </c>
      <c r="M224" s="4"/>
      <c r="N224" s="4"/>
      <c r="O224" s="4"/>
      <c r="P224" s="4"/>
      <c r="Q224" s="4"/>
      <c r="R224" s="4"/>
      <c r="S224" s="3">
        <f t="shared" si="7"/>
        <v>0</v>
      </c>
      <c r="T224" s="5"/>
    </row>
    <row r="225" spans="1:20" x14ac:dyDescent="0.25">
      <c r="A225" s="3" t="s">
        <v>289</v>
      </c>
      <c r="B225" s="3" t="s">
        <v>282</v>
      </c>
      <c r="C225" s="3">
        <v>4</v>
      </c>
      <c r="D225" s="3">
        <v>6</v>
      </c>
      <c r="E225" s="2" t="s">
        <v>497</v>
      </c>
      <c r="F225" s="3">
        <v>4</v>
      </c>
      <c r="G225" s="4" t="s">
        <v>557</v>
      </c>
      <c r="H225" s="4"/>
      <c r="I225" s="4"/>
      <c r="J225" s="4"/>
      <c r="K225" s="4"/>
      <c r="L225" s="3">
        <f t="shared" si="6"/>
        <v>4</v>
      </c>
      <c r="M225" s="4"/>
      <c r="N225" s="4"/>
      <c r="O225" s="4"/>
      <c r="P225" s="4"/>
      <c r="Q225" s="4"/>
      <c r="R225" s="4"/>
      <c r="S225" s="3">
        <f t="shared" si="7"/>
        <v>0</v>
      </c>
      <c r="T225" s="5"/>
    </row>
    <row r="226" spans="1:20" ht="28.5" x14ac:dyDescent="0.25">
      <c r="A226" s="3" t="s">
        <v>289</v>
      </c>
      <c r="B226" s="3" t="s">
        <v>282</v>
      </c>
      <c r="C226" s="3">
        <v>4</v>
      </c>
      <c r="D226" s="3">
        <v>7</v>
      </c>
      <c r="E226" s="2" t="s">
        <v>498</v>
      </c>
      <c r="F226" s="3">
        <v>4</v>
      </c>
      <c r="G226" s="4" t="s">
        <v>558</v>
      </c>
      <c r="H226" s="4">
        <v>1</v>
      </c>
      <c r="I226" s="4"/>
      <c r="J226" s="4"/>
      <c r="K226" s="4"/>
      <c r="L226" s="3">
        <f t="shared" si="6"/>
        <v>3</v>
      </c>
      <c r="M226" s="4"/>
      <c r="N226" s="4"/>
      <c r="O226" s="4"/>
      <c r="P226" s="4"/>
      <c r="Q226" s="4"/>
      <c r="R226" s="4"/>
      <c r="S226" s="3">
        <f t="shared" si="7"/>
        <v>0</v>
      </c>
      <c r="T226" s="5"/>
    </row>
    <row r="227" spans="1:20" ht="28.5" x14ac:dyDescent="0.25">
      <c r="A227" s="3" t="s">
        <v>289</v>
      </c>
      <c r="B227" s="3" t="s">
        <v>282</v>
      </c>
      <c r="C227" s="3">
        <v>4</v>
      </c>
      <c r="D227" s="3">
        <v>8</v>
      </c>
      <c r="E227" s="2" t="s">
        <v>499</v>
      </c>
      <c r="F227" s="3">
        <v>3</v>
      </c>
      <c r="G227" s="4" t="s">
        <v>558</v>
      </c>
      <c r="H227" s="4"/>
      <c r="I227" s="4"/>
      <c r="J227" s="4">
        <v>1</v>
      </c>
      <c r="K227" s="4"/>
      <c r="L227" s="3">
        <f t="shared" si="6"/>
        <v>2</v>
      </c>
      <c r="M227" s="4"/>
      <c r="N227" s="4"/>
      <c r="O227" s="4"/>
      <c r="P227" s="4"/>
      <c r="Q227" s="4"/>
      <c r="R227" s="4"/>
      <c r="S227" s="3">
        <f t="shared" si="7"/>
        <v>0</v>
      </c>
      <c r="T227" s="5"/>
    </row>
    <row r="228" spans="1:20" ht="28.5" x14ac:dyDescent="0.25">
      <c r="A228" s="3" t="s">
        <v>289</v>
      </c>
      <c r="B228" s="3" t="s">
        <v>282</v>
      </c>
      <c r="C228" s="3">
        <v>4</v>
      </c>
      <c r="D228" s="3">
        <v>9</v>
      </c>
      <c r="E228" s="2" t="s">
        <v>500</v>
      </c>
      <c r="F228" s="3">
        <v>5</v>
      </c>
      <c r="G228" s="4" t="s">
        <v>558</v>
      </c>
      <c r="H228" s="4">
        <v>1</v>
      </c>
      <c r="I228" s="4"/>
      <c r="J228" s="4"/>
      <c r="K228" s="4"/>
      <c r="L228" s="3">
        <f t="shared" si="6"/>
        <v>4</v>
      </c>
      <c r="M228" s="4"/>
      <c r="N228" s="4"/>
      <c r="O228" s="4"/>
      <c r="P228" s="4"/>
      <c r="Q228" s="4"/>
      <c r="R228" s="4"/>
      <c r="S228" s="3">
        <f t="shared" si="7"/>
        <v>0</v>
      </c>
      <c r="T228" s="5"/>
    </row>
    <row r="229" spans="1:20" ht="28.5" x14ac:dyDescent="0.25">
      <c r="A229" s="3" t="s">
        <v>289</v>
      </c>
      <c r="B229" s="3" t="s">
        <v>282</v>
      </c>
      <c r="C229" s="3">
        <v>4</v>
      </c>
      <c r="D229" s="3">
        <v>10</v>
      </c>
      <c r="E229" s="2" t="s">
        <v>501</v>
      </c>
      <c r="F229" s="3">
        <v>5</v>
      </c>
      <c r="G229" s="4" t="s">
        <v>558</v>
      </c>
      <c r="H229" s="4">
        <v>1</v>
      </c>
      <c r="I229" s="4"/>
      <c r="J229" s="4"/>
      <c r="K229" s="4"/>
      <c r="L229" s="3">
        <f t="shared" si="6"/>
        <v>4</v>
      </c>
      <c r="M229" s="4"/>
      <c r="N229" s="4"/>
      <c r="O229" s="4"/>
      <c r="P229" s="4"/>
      <c r="Q229" s="4"/>
      <c r="R229" s="4"/>
      <c r="S229" s="3">
        <f t="shared" si="7"/>
        <v>0</v>
      </c>
      <c r="T229" s="5"/>
    </row>
    <row r="230" spans="1:20" ht="28.5" x14ac:dyDescent="0.25">
      <c r="A230" s="3" t="s">
        <v>289</v>
      </c>
      <c r="B230" s="3" t="s">
        <v>282</v>
      </c>
      <c r="C230" s="3">
        <v>4</v>
      </c>
      <c r="D230" s="3">
        <v>11</v>
      </c>
      <c r="E230" s="2" t="s">
        <v>502</v>
      </c>
      <c r="F230" s="3">
        <v>4</v>
      </c>
      <c r="G230" s="4" t="s">
        <v>558</v>
      </c>
      <c r="H230" s="4">
        <v>1</v>
      </c>
      <c r="I230" s="4"/>
      <c r="J230" s="4"/>
      <c r="K230" s="4"/>
      <c r="L230" s="3">
        <f t="shared" si="6"/>
        <v>3</v>
      </c>
      <c r="M230" s="4"/>
      <c r="N230" s="4"/>
      <c r="O230" s="4"/>
      <c r="P230" s="4"/>
      <c r="Q230" s="4"/>
      <c r="R230" s="4"/>
      <c r="S230" s="3">
        <f t="shared" si="7"/>
        <v>0</v>
      </c>
      <c r="T230" s="5"/>
    </row>
    <row r="231" spans="1:20" ht="28.5" x14ac:dyDescent="0.25">
      <c r="A231" s="3" t="s">
        <v>289</v>
      </c>
      <c r="B231" s="3" t="s">
        <v>282</v>
      </c>
      <c r="C231" s="3">
        <v>4</v>
      </c>
      <c r="D231" s="3">
        <v>12</v>
      </c>
      <c r="E231" s="2" t="s">
        <v>503</v>
      </c>
      <c r="F231" s="3">
        <v>5</v>
      </c>
      <c r="G231" s="4" t="s">
        <v>558</v>
      </c>
      <c r="H231" s="4"/>
      <c r="I231" s="4">
        <v>1</v>
      </c>
      <c r="J231" s="4"/>
      <c r="K231" s="4"/>
      <c r="L231" s="3">
        <f t="shared" si="6"/>
        <v>4</v>
      </c>
      <c r="M231" s="4"/>
      <c r="N231" s="4"/>
      <c r="O231" s="4"/>
      <c r="P231" s="4"/>
      <c r="Q231" s="4"/>
      <c r="R231" s="4"/>
      <c r="S231" s="3">
        <f t="shared" si="7"/>
        <v>0</v>
      </c>
      <c r="T231" s="5"/>
    </row>
    <row r="232" spans="1:20" ht="42.75" x14ac:dyDescent="0.25">
      <c r="A232" s="3" t="s">
        <v>289</v>
      </c>
      <c r="B232" s="3" t="s">
        <v>282</v>
      </c>
      <c r="C232" s="3">
        <v>4</v>
      </c>
      <c r="D232" s="3">
        <v>13</v>
      </c>
      <c r="E232" s="2" t="s">
        <v>504</v>
      </c>
      <c r="F232" s="3">
        <v>16</v>
      </c>
      <c r="G232" s="4" t="s">
        <v>558</v>
      </c>
      <c r="H232" s="4">
        <v>1</v>
      </c>
      <c r="I232" s="4"/>
      <c r="J232" s="4">
        <v>1</v>
      </c>
      <c r="K232" s="4"/>
      <c r="L232" s="3">
        <f t="shared" si="6"/>
        <v>14</v>
      </c>
      <c r="M232" s="4"/>
      <c r="N232" s="4"/>
      <c r="O232" s="4"/>
      <c r="P232" s="4"/>
      <c r="Q232" s="4"/>
      <c r="R232" s="4"/>
      <c r="S232" s="3">
        <f t="shared" si="7"/>
        <v>0</v>
      </c>
      <c r="T232" s="5"/>
    </row>
    <row r="233" spans="1:20" x14ac:dyDescent="0.25">
      <c r="A233" s="3" t="s">
        <v>291</v>
      </c>
      <c r="B233" s="3" t="s">
        <v>282</v>
      </c>
      <c r="C233" s="3">
        <v>5</v>
      </c>
      <c r="D233" s="3">
        <v>1</v>
      </c>
      <c r="E233" s="2" t="s">
        <v>505</v>
      </c>
      <c r="F233" s="3">
        <v>3</v>
      </c>
      <c r="G233" s="4" t="s">
        <v>557</v>
      </c>
      <c r="H233" s="4"/>
      <c r="I233" s="4"/>
      <c r="J233" s="4"/>
      <c r="K233" s="4"/>
      <c r="L233" s="3">
        <f t="shared" si="6"/>
        <v>3</v>
      </c>
      <c r="M233" s="4"/>
      <c r="N233" s="4"/>
      <c r="O233" s="4"/>
      <c r="P233" s="4"/>
      <c r="Q233" s="4"/>
      <c r="R233" s="4"/>
      <c r="S233" s="3">
        <f t="shared" si="7"/>
        <v>0</v>
      </c>
      <c r="T233" s="5"/>
    </row>
    <row r="234" spans="1:20" ht="28.5" x14ac:dyDescent="0.25">
      <c r="A234" s="3" t="s">
        <v>291</v>
      </c>
      <c r="B234" s="3" t="s">
        <v>282</v>
      </c>
      <c r="C234" s="3">
        <v>5</v>
      </c>
      <c r="D234" s="3">
        <v>2</v>
      </c>
      <c r="E234" s="2" t="s">
        <v>506</v>
      </c>
      <c r="F234" s="3">
        <v>8</v>
      </c>
      <c r="G234" s="4" t="s">
        <v>558</v>
      </c>
      <c r="H234" s="4">
        <v>1</v>
      </c>
      <c r="I234" s="4"/>
      <c r="J234" s="4"/>
      <c r="K234" s="4"/>
      <c r="L234" s="3">
        <f t="shared" si="6"/>
        <v>7</v>
      </c>
      <c r="M234" s="4"/>
      <c r="N234" s="4"/>
      <c r="O234" s="4"/>
      <c r="P234" s="4"/>
      <c r="Q234" s="4"/>
      <c r="R234" s="4"/>
      <c r="S234" s="3">
        <f t="shared" si="7"/>
        <v>0</v>
      </c>
      <c r="T234" s="5"/>
    </row>
    <row r="235" spans="1:20" ht="28.5" x14ac:dyDescent="0.25">
      <c r="A235" s="3" t="s">
        <v>291</v>
      </c>
      <c r="B235" s="3" t="s">
        <v>282</v>
      </c>
      <c r="C235" s="3">
        <v>5</v>
      </c>
      <c r="D235" s="3">
        <v>3</v>
      </c>
      <c r="E235" s="2" t="s">
        <v>507</v>
      </c>
      <c r="F235" s="3">
        <v>8</v>
      </c>
      <c r="G235" s="4" t="s">
        <v>557</v>
      </c>
      <c r="H235" s="4"/>
      <c r="I235" s="4"/>
      <c r="J235" s="4"/>
      <c r="K235" s="4"/>
      <c r="L235" s="3">
        <f t="shared" si="6"/>
        <v>8</v>
      </c>
      <c r="M235" s="4"/>
      <c r="N235" s="4"/>
      <c r="O235" s="4"/>
      <c r="P235" s="4"/>
      <c r="Q235" s="4"/>
      <c r="R235" s="4"/>
      <c r="S235" s="3">
        <f t="shared" si="7"/>
        <v>0</v>
      </c>
      <c r="T235" s="5"/>
    </row>
    <row r="236" spans="1:20" ht="57" x14ac:dyDescent="0.25">
      <c r="A236" s="3" t="s">
        <v>291</v>
      </c>
      <c r="B236" s="3" t="s">
        <v>282</v>
      </c>
      <c r="C236" s="3">
        <v>5</v>
      </c>
      <c r="D236" s="3">
        <v>4</v>
      </c>
      <c r="E236" s="2" t="s">
        <v>508</v>
      </c>
      <c r="F236" s="3">
        <v>17</v>
      </c>
      <c r="G236" s="4" t="s">
        <v>558</v>
      </c>
      <c r="H236" s="4"/>
      <c r="I236" s="4"/>
      <c r="J236" s="4">
        <v>2</v>
      </c>
      <c r="K236" s="4"/>
      <c r="L236" s="3">
        <f t="shared" si="6"/>
        <v>15</v>
      </c>
      <c r="M236" s="4"/>
      <c r="N236" s="4"/>
      <c r="O236" s="4"/>
      <c r="P236" s="4"/>
      <c r="Q236" s="4"/>
      <c r="R236" s="4"/>
      <c r="S236" s="3">
        <f t="shared" si="7"/>
        <v>0</v>
      </c>
      <c r="T236" s="5"/>
    </row>
  </sheetData>
  <sheetProtection sheet="1" objects="1" scenarios="1" formatColumns="0" formatRows="0"/>
  <dataValidations count="4">
    <dataValidation type="list" allowBlank="1" showErrorMessage="1" sqref="G2:G236" xr:uid="{00000000-0002-0000-0200-000000000000}">
      <formula1>"doğru / правильно,yanlış ama anlaşılır / понятно,yanlış ve anlamsız / непонятно"</formula1>
    </dataValidation>
    <dataValidation type="whole" operator="greaterThanOrEqual" allowBlank="1" showErrorMessage="1" sqref="M2:R236 H2:K236" xr:uid="{00000000-0002-0000-0200-000001000000}">
      <formula1>0</formula1>
    </dataValidation>
    <dataValidation type="custom" allowBlank="1" showErrorMessage="1" errorTitle="Tek kod / One code / Один код" error="Her sözcük tek bir koda sayılır; kodların toplamı cümledeki sözcük sayısını geçemez._x000a_One code per word; the codes' total cannot exceed the sentence's word count._x000a_Одно слово — один код; сумма кодов не может превышать число слов." sqref="H2:K236" xr:uid="{00000000-0002-0000-0200-00000B000000}">
      <formula1>SUM($H2:$K2)&lt;=$F2</formula1>
    </dataValidation>
    <dataValidation type="custom" allowBlank="1" showErrorMessage="1" errorTitle="Tek kod / One code / Один код" error="Her sözcük tek bir koda sayılır; kodların toplamı cümledeki sözcük sayısını geçemez._x000a_One code per word; the codes' total cannot exceed the sentence's word count._x000a_Одно слово — один код; сумма кодов не может превышать число слов." sqref="M2:M236" xr:uid="{00000000-0002-0000-0200-00000C000000}">
      <formula1>SUM($H2:$K2)+$M2&lt;=$F2</formula1>
    </dataValidation>
  </dataValidations>
  <pageMargins left="0.5" right="0.5"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8"/>
  <sheetViews>
    <sheetView workbookViewId="0"/>
  </sheetViews>
  <sheetFormatPr defaultRowHeight="14.25" x14ac:dyDescent="0.25"/>
  <cols>
    <col min="1" max="1" width="40" customWidth="1"/>
    <col min="2" max="9" width="16" customWidth="1"/>
  </cols>
  <sheetData>
    <row r="1" spans="1:9" x14ac:dyDescent="0.25">
      <c r="A1" s="1" t="s">
        <v>509</v>
      </c>
    </row>
    <row r="3" spans="1:9" ht="28.5" x14ac:dyDescent="0.25">
      <c r="A3" s="1" t="s">
        <v>510</v>
      </c>
    </row>
    <row r="4" spans="1:9" ht="120" customHeight="1" x14ac:dyDescent="0.25">
      <c r="A4" s="1" t="s">
        <v>511</v>
      </c>
      <c r="B4" s="1" t="s">
        <v>512</v>
      </c>
      <c r="C4" s="1" t="s">
        <v>296</v>
      </c>
      <c r="D4" s="1" t="s">
        <v>297</v>
      </c>
      <c r="E4" s="1" t="s">
        <v>298</v>
      </c>
      <c r="F4" s="1" t="s">
        <v>299</v>
      </c>
      <c r="G4" s="1" t="s">
        <v>513</v>
      </c>
      <c r="H4" s="1" t="s">
        <v>514</v>
      </c>
      <c r="I4" s="1" t="s">
        <v>515</v>
      </c>
    </row>
    <row r="5" spans="1:9" x14ac:dyDescent="0.25">
      <c r="A5" s="3" t="s">
        <v>516</v>
      </c>
      <c r="B5" s="3">
        <f>SUMIF(Responses!$C:$C,"1",Responses!$G:$G)</f>
        <v>217</v>
      </c>
      <c r="C5" s="3">
        <f>SUMIFS(Sentences!$H:$H,Sentences!$C:$C,"1")</f>
        <v>13</v>
      </c>
      <c r="D5" s="3">
        <f>SUMIFS(Sentences!$I:$I,Sentences!$C:$C,"1")</f>
        <v>44</v>
      </c>
      <c r="E5" s="3">
        <f>SUMIFS(Sentences!$J:$J,Sentences!$C:$C,"1")</f>
        <v>20</v>
      </c>
      <c r="F5" s="3">
        <f>SUMIFS(Sentences!$K:$K,Sentences!$C:$C,"1")</f>
        <v>9</v>
      </c>
      <c r="G5" s="3">
        <f>C5+D5+E5+F5</f>
        <v>86</v>
      </c>
      <c r="H5" s="3">
        <f>IF(B5=0,0,(C5+D5+E5+F5)*100/B5)</f>
        <v>39.631336405529957</v>
      </c>
      <c r="I5" s="3">
        <f>SUMIFS(Sentences!$M:$M,Sentences!$C:$C,"1")</f>
        <v>0</v>
      </c>
    </row>
    <row r="6" spans="1:9" x14ac:dyDescent="0.25">
      <c r="A6" s="3" t="s">
        <v>517</v>
      </c>
      <c r="B6" s="3">
        <f>SUMIF(Responses!$C:$C,"2",Responses!$G:$G)</f>
        <v>382</v>
      </c>
      <c r="C6" s="3">
        <f>SUMIFS(Sentences!$H:$H,Sentences!$C:$C,"2")</f>
        <v>25</v>
      </c>
      <c r="D6" s="3">
        <f>SUMIFS(Sentences!$I:$I,Sentences!$C:$C,"2")</f>
        <v>18</v>
      </c>
      <c r="E6" s="3">
        <f>SUMIFS(Sentences!$J:$J,Sentences!$C:$C,"2")</f>
        <v>11</v>
      </c>
      <c r="F6" s="3">
        <f>SUMIFS(Sentences!$K:$K,Sentences!$C:$C,"2")</f>
        <v>1</v>
      </c>
      <c r="G6" s="3">
        <f>C6+D6+E6+F6</f>
        <v>55</v>
      </c>
      <c r="H6" s="3">
        <f>IF(B6=0,0,(C6+D6+E6+F6)*100/B6)</f>
        <v>14.397905759162304</v>
      </c>
      <c r="I6" s="3">
        <f>SUMIFS(Sentences!$M:$M,Sentences!$C:$C,"2")</f>
        <v>0</v>
      </c>
    </row>
    <row r="7" spans="1:9" x14ac:dyDescent="0.25">
      <c r="A7" s="3" t="s">
        <v>518</v>
      </c>
      <c r="B7" s="3">
        <f>SUMIF(Responses!$C:$C,"3",Responses!$G:$G)</f>
        <v>305</v>
      </c>
      <c r="C7" s="3">
        <f>SUMIFS(Sentences!$H:$H,Sentences!$C:$C,"3")</f>
        <v>27</v>
      </c>
      <c r="D7" s="3">
        <f>SUMIFS(Sentences!$I:$I,Sentences!$C:$C,"3")</f>
        <v>2</v>
      </c>
      <c r="E7" s="3">
        <f>SUMIFS(Sentences!$J:$J,Sentences!$C:$C,"3")</f>
        <v>6</v>
      </c>
      <c r="F7" s="3">
        <f>SUMIFS(Sentences!$K:$K,Sentences!$C:$C,"3")</f>
        <v>3</v>
      </c>
      <c r="G7" s="3">
        <f>C7+D7+E7+F7</f>
        <v>38</v>
      </c>
      <c r="H7" s="3">
        <f>IF(B7=0,0,(C7+D7+E7+F7)*100/B7)</f>
        <v>12.459016393442623</v>
      </c>
      <c r="I7" s="3">
        <f>SUMIFS(Sentences!$M:$M,Sentences!$C:$C,"3")</f>
        <v>0</v>
      </c>
    </row>
    <row r="8" spans="1:9" x14ac:dyDescent="0.25">
      <c r="A8" s="3" t="s">
        <v>519</v>
      </c>
      <c r="B8" s="3">
        <f>SUMIF(Responses!$C:$C,"4",Responses!$G:$G)</f>
        <v>421</v>
      </c>
      <c r="C8" s="3">
        <f>SUMIFS(Sentences!$H:$H,Sentences!$C:$C,"4")</f>
        <v>17</v>
      </c>
      <c r="D8" s="3">
        <f>SUMIFS(Sentences!$I:$I,Sentences!$C:$C,"4")</f>
        <v>10</v>
      </c>
      <c r="E8" s="3">
        <f>SUMIFS(Sentences!$J:$J,Sentences!$C:$C,"4")</f>
        <v>3</v>
      </c>
      <c r="F8" s="3">
        <f>SUMIFS(Sentences!$K:$K,Sentences!$C:$C,"4")</f>
        <v>3</v>
      </c>
      <c r="G8" s="3">
        <f>C8+D8+E8+F8</f>
        <v>33</v>
      </c>
      <c r="H8" s="3">
        <f>IF(B8=0,0,(C8+D8+E8+F8)*100/B8)</f>
        <v>7.8384798099762474</v>
      </c>
      <c r="I8" s="3">
        <f>SUMIFS(Sentences!$M:$M,Sentences!$C:$C,"4")</f>
        <v>0</v>
      </c>
    </row>
    <row r="9" spans="1:9" x14ac:dyDescent="0.25">
      <c r="A9" s="3" t="s">
        <v>520</v>
      </c>
      <c r="B9" s="3">
        <f>SUMIF(Responses!$C:$C,"5",Responses!$G:$G)</f>
        <v>219</v>
      </c>
      <c r="C9" s="3">
        <f>SUMIFS(Sentences!$H:$H,Sentences!$C:$C,"5")</f>
        <v>11</v>
      </c>
      <c r="D9" s="3">
        <f>SUMIFS(Sentences!$I:$I,Sentences!$C:$C,"5")</f>
        <v>6</v>
      </c>
      <c r="E9" s="3">
        <f>SUMIFS(Sentences!$J:$J,Sentences!$C:$C,"5")</f>
        <v>4</v>
      </c>
      <c r="F9" s="3">
        <f>SUMIFS(Sentences!$K:$K,Sentences!$C:$C,"5")</f>
        <v>3</v>
      </c>
      <c r="G9" s="3">
        <f>C9+D9+E9+F9</f>
        <v>24</v>
      </c>
      <c r="H9" s="3">
        <f>IF(B9=0,0,(C9+D9+E9+F9)*100/B9)</f>
        <v>10.95890410958904</v>
      </c>
      <c r="I9" s="3">
        <f>SUMIFS(Sentences!$M:$M,Sentences!$C:$C,"5")</f>
        <v>0</v>
      </c>
    </row>
    <row r="11" spans="1:9" ht="42.75" x14ac:dyDescent="0.25">
      <c r="A11" s="1" t="s">
        <v>521</v>
      </c>
    </row>
    <row r="12" spans="1:9" ht="120" customHeight="1" x14ac:dyDescent="0.25">
      <c r="A12" s="1" t="s">
        <v>511</v>
      </c>
      <c r="B12" s="1" t="s">
        <v>522</v>
      </c>
      <c r="C12" s="1" t="s">
        <v>523</v>
      </c>
      <c r="D12" s="1" t="s">
        <v>524</v>
      </c>
    </row>
    <row r="13" spans="1:9" x14ac:dyDescent="0.25">
      <c r="A13" s="3" t="s">
        <v>516</v>
      </c>
      <c r="B13" s="3">
        <f>COUNTIFS(Sentences!$C:$C,"1",Sentences!$G:$G,"doğru / правильно")</f>
        <v>9</v>
      </c>
      <c r="C13" s="3">
        <f>COUNTIFS(Sentences!$C:$C,"1",Sentences!$G:$G,"yanlış ama anlaşılır / понятно")</f>
        <v>26</v>
      </c>
      <c r="D13" s="3">
        <f>COUNTIFS(Sentences!$C:$C,"1",Sentences!$G:$G,"yanlış ve anlamsız / непонятно")</f>
        <v>5</v>
      </c>
    </row>
    <row r="14" spans="1:9" x14ac:dyDescent="0.25">
      <c r="A14" s="3" t="s">
        <v>517</v>
      </c>
      <c r="B14" s="3">
        <f>COUNTIFS(Sentences!$C:$C,"2",Sentences!$G:$G,"doğru / правильно")</f>
        <v>25</v>
      </c>
      <c r="C14" s="3">
        <f>COUNTIFS(Sentences!$C:$C,"2",Sentences!$G:$G,"yanlış ama anlaşılır / понятно")</f>
        <v>23</v>
      </c>
      <c r="D14" s="3">
        <f>COUNTIFS(Sentences!$C:$C,"2",Sentences!$G:$G,"yanlış ve anlamsız / непонятно")</f>
        <v>0</v>
      </c>
    </row>
    <row r="15" spans="1:9" x14ac:dyDescent="0.25">
      <c r="A15" s="3" t="s">
        <v>518</v>
      </c>
      <c r="B15" s="3">
        <f>COUNTIFS(Sentences!$C:$C,"3",Sentences!$G:$G,"doğru / правильно")</f>
        <v>23</v>
      </c>
      <c r="C15" s="3">
        <f>COUNTIFS(Sentences!$C:$C,"3",Sentences!$G:$G,"yanlış ama anlaşılır / понятно")</f>
        <v>19</v>
      </c>
      <c r="D15" s="3">
        <f>COUNTIFS(Sentences!$C:$C,"3",Sentences!$G:$G,"yanlış ve anlamsız / непонятно")</f>
        <v>0</v>
      </c>
    </row>
    <row r="16" spans="1:9" x14ac:dyDescent="0.25">
      <c r="A16" s="3" t="s">
        <v>519</v>
      </c>
      <c r="B16" s="3">
        <f>COUNTIFS(Sentences!$C:$C,"4",Sentences!$G:$G,"doğru / правильно")</f>
        <v>19</v>
      </c>
      <c r="C16" s="3">
        <f>COUNTIFS(Sentences!$C:$C,"4",Sentences!$G:$G,"yanlış ama anlaşılır / понятно")</f>
        <v>24</v>
      </c>
      <c r="D16" s="3">
        <f>COUNTIFS(Sentences!$C:$C,"4",Sentences!$G:$G,"yanlış ve anlamsız / непонятно")</f>
        <v>0</v>
      </c>
    </row>
    <row r="17" spans="1:4" x14ac:dyDescent="0.25">
      <c r="A17" s="3" t="s">
        <v>520</v>
      </c>
      <c r="B17" s="3">
        <f>COUNTIFS(Sentences!$C:$C,"5",Sentences!$G:$G,"doğru / правильно")</f>
        <v>27</v>
      </c>
      <c r="C17" s="3">
        <f>COUNTIFS(Sentences!$C:$C,"5",Sentences!$G:$G,"yanlış ama anlaşılır / понятно")</f>
        <v>12</v>
      </c>
      <c r="D17" s="3">
        <f>COUNTIFS(Sentences!$C:$C,"5",Sentences!$G:$G,"yanlış ve anlamsız / непонятно")</f>
        <v>1</v>
      </c>
    </row>
    <row r="19" spans="1:4" ht="42.75" x14ac:dyDescent="0.25">
      <c r="A19" s="1" t="s">
        <v>525</v>
      </c>
    </row>
    <row r="20" spans="1:4" ht="75" customHeight="1" x14ac:dyDescent="0.25">
      <c r="A20" s="1" t="s">
        <v>511</v>
      </c>
      <c r="B20" s="1" t="s">
        <v>526</v>
      </c>
      <c r="C20" s="1" t="s">
        <v>527</v>
      </c>
      <c r="D20" s="1" t="s">
        <v>528</v>
      </c>
    </row>
    <row r="21" spans="1:4" x14ac:dyDescent="0.25">
      <c r="A21" s="3" t="s">
        <v>516</v>
      </c>
      <c r="B21" s="3">
        <f>COUNTIFS(Responses!$C:$C,"1",Responses!$I:$I,"tam / полное")</f>
        <v>0</v>
      </c>
      <c r="C21" s="3">
        <f>COUNTIFS(Responses!$C:$C,"1",Responses!$I:$I,"kısmen / частичное")</f>
        <v>7</v>
      </c>
      <c r="D21" s="3">
        <f>COUNTIFS(Responses!$C:$C,"1",Responses!$I:$I,"uyum yok / нет")</f>
        <v>0</v>
      </c>
    </row>
    <row r="22" spans="1:4" x14ac:dyDescent="0.25">
      <c r="A22" s="3" t="s">
        <v>517</v>
      </c>
      <c r="B22" s="3">
        <f>COUNTIFS(Responses!$C:$C,"2",Responses!$I:$I,"tam / полное")</f>
        <v>4</v>
      </c>
      <c r="C22" s="3">
        <f>COUNTIFS(Responses!$C:$C,"2",Responses!$I:$I,"kısmen / частичное")</f>
        <v>3</v>
      </c>
      <c r="D22" s="3">
        <f>COUNTIFS(Responses!$C:$C,"2",Responses!$I:$I,"uyum yok / нет")</f>
        <v>0</v>
      </c>
    </row>
    <row r="23" spans="1:4" x14ac:dyDescent="0.25">
      <c r="A23" s="3" t="s">
        <v>518</v>
      </c>
      <c r="B23" s="3">
        <f>COUNTIFS(Responses!$C:$C,"3",Responses!$I:$I,"tam / полное")</f>
        <v>2</v>
      </c>
      <c r="C23" s="3">
        <f>COUNTIFS(Responses!$C:$C,"3",Responses!$I:$I,"kısmen / частичное")</f>
        <v>5</v>
      </c>
      <c r="D23" s="3">
        <f>COUNTIFS(Responses!$C:$C,"3",Responses!$I:$I,"uyum yok / нет")</f>
        <v>0</v>
      </c>
    </row>
    <row r="24" spans="1:4" x14ac:dyDescent="0.25">
      <c r="A24" s="3" t="s">
        <v>519</v>
      </c>
      <c r="B24" s="3">
        <f>COUNTIFS(Responses!$C:$C,"4",Responses!$I:$I,"tam / полное")</f>
        <v>0</v>
      </c>
      <c r="C24" s="3">
        <f>COUNTIFS(Responses!$C:$C,"4",Responses!$I:$I,"kısmen / частичное")</f>
        <v>6</v>
      </c>
      <c r="D24" s="3">
        <f>COUNTIFS(Responses!$C:$C,"4",Responses!$I:$I,"uyum yok / нет")</f>
        <v>1</v>
      </c>
    </row>
    <row r="25" spans="1:4" x14ac:dyDescent="0.25">
      <c r="A25" s="3" t="s">
        <v>520</v>
      </c>
      <c r="B25" s="3">
        <f>COUNTIFS(Responses!$C:$C,"5",Responses!$I:$I,"tam / полное")</f>
        <v>0</v>
      </c>
      <c r="C25" s="3">
        <f>COUNTIFS(Responses!$C:$C,"5",Responses!$I:$I,"kısmen / частичное")</f>
        <v>7</v>
      </c>
      <c r="D25" s="3">
        <f>COUNTIFS(Responses!$C:$C,"5",Responses!$I:$I,"uyum yok / нет")</f>
        <v>0</v>
      </c>
    </row>
    <row r="27" spans="1:4" ht="42.75" x14ac:dyDescent="0.25">
      <c r="A27" s="1" t="s">
        <v>529</v>
      </c>
    </row>
    <row r="28" spans="1:4" ht="75" customHeight="1" x14ac:dyDescent="0.25">
      <c r="A28" s="1" t="s">
        <v>511</v>
      </c>
      <c r="B28" s="1" t="s">
        <v>530</v>
      </c>
      <c r="C28" s="1" t="s">
        <v>531</v>
      </c>
      <c r="D28" s="1" t="s">
        <v>532</v>
      </c>
    </row>
    <row r="29" spans="1:4" x14ac:dyDescent="0.25">
      <c r="A29" s="3" t="s">
        <v>516</v>
      </c>
      <c r="B29" s="3">
        <f>COUNTIFS(Responses!$C:$C,"1",Responses!$J:$J,"karşıladı / отвечает")</f>
        <v>3</v>
      </c>
      <c r="C29" s="3">
        <f>COUNTIFS(Responses!$C:$C,"1",Responses!$J:$J,"kısmen karşıladı / частично")</f>
        <v>3</v>
      </c>
      <c r="D29" s="3">
        <f>COUNTIFS(Responses!$C:$C,"1",Responses!$J:$J,"alakasız / не по теме")</f>
        <v>1</v>
      </c>
    </row>
    <row r="30" spans="1:4" x14ac:dyDescent="0.25">
      <c r="A30" s="3" t="s">
        <v>517</v>
      </c>
      <c r="B30" s="3">
        <f>COUNTIFS(Responses!$C:$C,"2",Responses!$J:$J,"karşıladı / отвечает")</f>
        <v>7</v>
      </c>
      <c r="C30" s="3">
        <f>COUNTIFS(Responses!$C:$C,"2",Responses!$J:$J,"kısmen karşıladı / частично")</f>
        <v>0</v>
      </c>
      <c r="D30" s="3">
        <f>COUNTIFS(Responses!$C:$C,"2",Responses!$J:$J,"alakasız / не по теме")</f>
        <v>0</v>
      </c>
    </row>
    <row r="31" spans="1:4" x14ac:dyDescent="0.25">
      <c r="A31" s="3" t="s">
        <v>518</v>
      </c>
      <c r="B31" s="3">
        <f>COUNTIFS(Responses!$C:$C,"3",Responses!$J:$J,"karşıladı / отвечает")</f>
        <v>6</v>
      </c>
      <c r="C31" s="3">
        <f>COUNTIFS(Responses!$C:$C,"3",Responses!$J:$J,"kısmen karşıladı / частично")</f>
        <v>1</v>
      </c>
      <c r="D31" s="3">
        <f>COUNTIFS(Responses!$C:$C,"3",Responses!$J:$J,"alakasız / не по теме")</f>
        <v>0</v>
      </c>
    </row>
    <row r="32" spans="1:4" x14ac:dyDescent="0.25">
      <c r="A32" s="3" t="s">
        <v>519</v>
      </c>
      <c r="B32" s="3">
        <f>COUNTIFS(Responses!$C:$C,"4",Responses!$J:$J,"karşıladı / отвечает")</f>
        <v>5</v>
      </c>
      <c r="C32" s="3">
        <f>COUNTIFS(Responses!$C:$C,"4",Responses!$J:$J,"kısmen karşıladı / частично")</f>
        <v>1</v>
      </c>
      <c r="D32" s="3">
        <f>COUNTIFS(Responses!$C:$C,"4",Responses!$J:$J,"alakasız / не по теме")</f>
        <v>1</v>
      </c>
    </row>
    <row r="33" spans="1:7" x14ac:dyDescent="0.25">
      <c r="A33" s="3" t="s">
        <v>520</v>
      </c>
      <c r="B33" s="3">
        <f>COUNTIFS(Responses!$C:$C,"5",Responses!$J:$J,"karşıladı / отвечает")</f>
        <v>6</v>
      </c>
      <c r="C33" s="3">
        <f>COUNTIFS(Responses!$C:$C,"5",Responses!$J:$J,"kısmen karşıladı / частично")</f>
        <v>0</v>
      </c>
      <c r="D33" s="3">
        <f>COUNTIFS(Responses!$C:$C,"5",Responses!$J:$J,"alakasız / не по теме")</f>
        <v>1</v>
      </c>
    </row>
    <row r="35" spans="1:7" ht="28.5" x14ac:dyDescent="0.25">
      <c r="A35" s="1" t="s">
        <v>533</v>
      </c>
    </row>
    <row r="36" spans="1:7" ht="142.5" x14ac:dyDescent="0.25">
      <c r="A36" s="2" t="s">
        <v>534</v>
      </c>
      <c r="B36" s="3">
        <f>COUNTIF(Sentences!$L:$L,"&lt;0")</f>
        <v>0</v>
      </c>
    </row>
    <row r="38" spans="1:7" ht="42.75" x14ac:dyDescent="0.25">
      <c r="A38" s="1" t="s">
        <v>535</v>
      </c>
    </row>
    <row r="39" spans="1:7" ht="195" customHeight="1" x14ac:dyDescent="0.25">
      <c r="A39" s="1" t="s">
        <v>511</v>
      </c>
      <c r="B39" s="1" t="s">
        <v>536</v>
      </c>
      <c r="C39" s="1" t="s">
        <v>537</v>
      </c>
      <c r="D39" s="1" t="s">
        <v>538</v>
      </c>
    </row>
    <row r="40" spans="1:7" x14ac:dyDescent="0.25">
      <c r="A40" s="3" t="s">
        <v>516</v>
      </c>
      <c r="B40" s="3">
        <f>COUNTIFS(Responses!$C:$C,"1",Responses!$L:$L,"iki metni de işlemiştir / обработал оба текста")</f>
        <v>0</v>
      </c>
      <c r="C40" s="3">
        <f>COUNTIFS(Responses!$C:$C,"1",Responses!$L:$L,"metinleri hizalamamıştır / не сопоставил тексты")</f>
        <v>0</v>
      </c>
      <c r="D40" s="3">
        <f>COUNTIFS(Responses!$C:$C,"1",Responses!$L:$L,"olmayan bir fark uydurmuştur (halüsinasyon) / придумал несуществующее различие (галлюцинация)")</f>
        <v>1</v>
      </c>
    </row>
    <row r="41" spans="1:7" x14ac:dyDescent="0.25">
      <c r="A41" s="3" t="s">
        <v>517</v>
      </c>
      <c r="B41" s="3">
        <f>COUNTIFS(Responses!$C:$C,"2",Responses!$L:$L,"iki metni de işlemiştir / обработал оба текста")</f>
        <v>1</v>
      </c>
      <c r="C41" s="3">
        <f>COUNTIFS(Responses!$C:$C,"2",Responses!$L:$L,"metinleri hizalamamıştır / не сопоставил тексты")</f>
        <v>0</v>
      </c>
      <c r="D41" s="3">
        <f>COUNTIFS(Responses!$C:$C,"2",Responses!$L:$L,"olmayan bir fark uydurmuştur (halüsinasyon) / придумал несуществующее различие (галлюцинация)")</f>
        <v>0</v>
      </c>
    </row>
    <row r="42" spans="1:7" x14ac:dyDescent="0.25">
      <c r="A42" s="3" t="s">
        <v>518</v>
      </c>
      <c r="B42" s="3">
        <f>COUNTIFS(Responses!$C:$C,"3",Responses!$L:$L,"iki metni de işlemiştir / обработал оба текста")</f>
        <v>1</v>
      </c>
      <c r="C42" s="3">
        <f>COUNTIFS(Responses!$C:$C,"3",Responses!$L:$L,"metinleri hizalamamıştır / не сопоставил тексты")</f>
        <v>0</v>
      </c>
      <c r="D42" s="3">
        <f>COUNTIFS(Responses!$C:$C,"3",Responses!$L:$L,"olmayan bir fark uydurmuştur (halüsinasyon) / придумал несуществующее различие (галлюцинация)")</f>
        <v>0</v>
      </c>
    </row>
    <row r="43" spans="1:7" x14ac:dyDescent="0.25">
      <c r="A43" s="3" t="s">
        <v>519</v>
      </c>
      <c r="B43" s="3">
        <f>COUNTIFS(Responses!$C:$C,"4",Responses!$L:$L,"iki metni de işlemiştir / обработал оба текста")</f>
        <v>0</v>
      </c>
      <c r="C43" s="3">
        <f>COUNTIFS(Responses!$C:$C,"4",Responses!$L:$L,"metinleri hizalamamıştır / не сопоставил тексты")</f>
        <v>1</v>
      </c>
      <c r="D43" s="3">
        <f>COUNTIFS(Responses!$C:$C,"4",Responses!$L:$L,"olmayan bir fark uydurmuştur (halüsinasyon) / придумал несуществующее различие (галлюцинация)")</f>
        <v>0</v>
      </c>
    </row>
    <row r="44" spans="1:7" x14ac:dyDescent="0.25">
      <c r="A44" s="3" t="s">
        <v>520</v>
      </c>
      <c r="B44" s="3">
        <f>COUNTIFS(Responses!$C:$C,"5",Responses!$L:$L,"iki metni de işlemiştir / обработал оба текста")</f>
        <v>1</v>
      </c>
      <c r="C44" s="3">
        <f>COUNTIFS(Responses!$C:$C,"5",Responses!$L:$L,"metinleri hizalamamıştır / не сопоставил тексты")</f>
        <v>0</v>
      </c>
      <c r="D44" s="3">
        <f>COUNTIFS(Responses!$C:$C,"5",Responses!$L:$L,"olmayan bir fark uydurmuştur (halüsinasyon) / придумал несуществующее различие (галлюцинация)")</f>
        <v>0</v>
      </c>
    </row>
    <row r="46" spans="1:7" ht="42.75" x14ac:dyDescent="0.25">
      <c r="A46" s="1" t="s">
        <v>539</v>
      </c>
    </row>
    <row r="47" spans="1:7" ht="75" customHeight="1" x14ac:dyDescent="0.25">
      <c r="A47" s="1" t="s">
        <v>511</v>
      </c>
      <c r="B47" s="1" t="s">
        <v>302</v>
      </c>
      <c r="C47" s="1" t="s">
        <v>303</v>
      </c>
      <c r="D47" s="1" t="s">
        <v>304</v>
      </c>
      <c r="E47" s="1" t="s">
        <v>305</v>
      </c>
      <c r="F47" s="1" t="s">
        <v>306</v>
      </c>
      <c r="G47" s="1" t="s">
        <v>540</v>
      </c>
    </row>
    <row r="48" spans="1:7" x14ac:dyDescent="0.25">
      <c r="A48" s="3" t="s">
        <v>516</v>
      </c>
      <c r="B48" s="3">
        <f>SUMIFS(Sentences!$N:$N,Sentences!$C:$C,"1")</f>
        <v>4</v>
      </c>
      <c r="C48" s="3">
        <f>SUMIFS(Sentences!$O:$O,Sentences!$C:$C,"1")</f>
        <v>5</v>
      </c>
      <c r="D48" s="3">
        <f>SUMIFS(Sentences!$P:$P,Sentences!$C:$C,"1")</f>
        <v>0</v>
      </c>
      <c r="E48" s="3">
        <f>SUMIFS(Sentences!$Q:$Q,Sentences!$C:$C,"1")</f>
        <v>0</v>
      </c>
      <c r="F48" s="3">
        <f>SUMIFS(Sentences!$R:$R,Sentences!$C:$C,"1")</f>
        <v>0</v>
      </c>
      <c r="G48" s="3">
        <f>SUMIFS(Sentences!$S:$S,Sentences!$C:$C,"1")</f>
        <v>9</v>
      </c>
    </row>
    <row r="49" spans="1:7" x14ac:dyDescent="0.25">
      <c r="A49" s="3" t="s">
        <v>517</v>
      </c>
      <c r="B49" s="3">
        <f>SUMIFS(Sentences!$N:$N,Sentences!$C:$C,"2")</f>
        <v>1</v>
      </c>
      <c r="C49" s="3">
        <f>SUMIFS(Sentences!$O:$O,Sentences!$C:$C,"2")</f>
        <v>0</v>
      </c>
      <c r="D49" s="3">
        <f>SUMIFS(Sentences!$P:$P,Sentences!$C:$C,"2")</f>
        <v>0</v>
      </c>
      <c r="E49" s="3">
        <f>SUMIFS(Sentences!$Q:$Q,Sentences!$C:$C,"2")</f>
        <v>0</v>
      </c>
      <c r="F49" s="3">
        <f>SUMIFS(Sentences!$R:$R,Sentences!$C:$C,"2")</f>
        <v>0</v>
      </c>
      <c r="G49" s="3">
        <f>SUMIFS(Sentences!$S:$S,Sentences!$C:$C,"2")</f>
        <v>1</v>
      </c>
    </row>
    <row r="50" spans="1:7" x14ac:dyDescent="0.25">
      <c r="A50" s="3" t="s">
        <v>518</v>
      </c>
      <c r="B50" s="3">
        <f>SUMIFS(Sentences!$N:$N,Sentences!$C:$C,"3")</f>
        <v>2</v>
      </c>
      <c r="C50" s="3">
        <f>SUMIFS(Sentences!$O:$O,Sentences!$C:$C,"3")</f>
        <v>1</v>
      </c>
      <c r="D50" s="3">
        <f>SUMIFS(Sentences!$P:$P,Sentences!$C:$C,"3")</f>
        <v>0</v>
      </c>
      <c r="E50" s="3">
        <f>SUMIFS(Sentences!$Q:$Q,Sentences!$C:$C,"3")</f>
        <v>0</v>
      </c>
      <c r="F50" s="3">
        <f>SUMIFS(Sentences!$R:$R,Sentences!$C:$C,"3")</f>
        <v>0</v>
      </c>
      <c r="G50" s="3">
        <f>SUMIFS(Sentences!$S:$S,Sentences!$C:$C,"3")</f>
        <v>3</v>
      </c>
    </row>
    <row r="51" spans="1:7" x14ac:dyDescent="0.25">
      <c r="A51" s="3" t="s">
        <v>519</v>
      </c>
      <c r="B51" s="3">
        <f>SUMIFS(Sentences!$N:$N,Sentences!$C:$C,"4")</f>
        <v>3</v>
      </c>
      <c r="C51" s="3">
        <f>SUMIFS(Sentences!$O:$O,Sentences!$C:$C,"4")</f>
        <v>0</v>
      </c>
      <c r="D51" s="3">
        <f>SUMIFS(Sentences!$P:$P,Sentences!$C:$C,"4")</f>
        <v>0</v>
      </c>
      <c r="E51" s="3">
        <f>SUMIFS(Sentences!$Q:$Q,Sentences!$C:$C,"4")</f>
        <v>0</v>
      </c>
      <c r="F51" s="3">
        <f>SUMIFS(Sentences!$R:$R,Sentences!$C:$C,"4")</f>
        <v>0</v>
      </c>
      <c r="G51" s="3">
        <f>SUMIFS(Sentences!$S:$S,Sentences!$C:$C,"4")</f>
        <v>3</v>
      </c>
    </row>
    <row r="52" spans="1:7" x14ac:dyDescent="0.25">
      <c r="A52" s="3" t="s">
        <v>520</v>
      </c>
      <c r="B52" s="3">
        <f>SUMIFS(Sentences!$N:$N,Sentences!$C:$C,"5")</f>
        <v>3</v>
      </c>
      <c r="C52" s="3">
        <f>SUMIFS(Sentences!$O:$O,Sentences!$C:$C,"5")</f>
        <v>0</v>
      </c>
      <c r="D52" s="3">
        <f>SUMIFS(Sentences!$P:$P,Sentences!$C:$C,"5")</f>
        <v>0</v>
      </c>
      <c r="E52" s="3">
        <f>SUMIFS(Sentences!$Q:$Q,Sentences!$C:$C,"5")</f>
        <v>0</v>
      </c>
      <c r="F52" s="3">
        <f>SUMIFS(Sentences!$R:$R,Sentences!$C:$C,"5")</f>
        <v>0</v>
      </c>
      <c r="G52" s="3">
        <f>SUMIFS(Sentences!$S:$S,Sentences!$C:$C,"5")</f>
        <v>3</v>
      </c>
    </row>
    <row r="54" spans="1:7" ht="28.5" x14ac:dyDescent="0.25">
      <c r="A54" s="1" t="s">
        <v>541</v>
      </c>
    </row>
    <row r="55" spans="1:7" ht="60" customHeight="1" x14ac:dyDescent="0.25">
      <c r="A55" s="1" t="s">
        <v>542</v>
      </c>
      <c r="B55" s="1" t="s">
        <v>543</v>
      </c>
      <c r="C55" s="1" t="s">
        <v>540</v>
      </c>
    </row>
    <row r="56" spans="1:7" ht="42.75" x14ac:dyDescent="0.25">
      <c r="A56" s="2" t="s">
        <v>544</v>
      </c>
      <c r="B56" s="3">
        <f>COUNTIF(Responses!$K:$K,"evet / да")</f>
        <v>35</v>
      </c>
      <c r="C56" s="3">
        <f>COUNTA(Responses!$A:$A)-1</f>
        <v>35</v>
      </c>
    </row>
    <row r="57" spans="1:7" ht="42.75" x14ac:dyDescent="0.25">
      <c r="A57" s="2" t="s">
        <v>545</v>
      </c>
      <c r="B57" s="3">
        <f>COUNTA(Sentences!$G:$G)-1</f>
        <v>213</v>
      </c>
      <c r="C57" s="3">
        <f>COUNTA(Sentences!$A:$A)-1</f>
        <v>235</v>
      </c>
    </row>
    <row r="58" spans="1:7" ht="42.75" x14ac:dyDescent="0.25">
      <c r="A58" s="2" t="s">
        <v>546</v>
      </c>
      <c r="B58" s="3">
        <f>COUNTIF(Responses!$K:$K,"hayır / нет")</f>
        <v>0</v>
      </c>
      <c r="C58" s="3">
        <f>COUNTA(Responses!$A:$A)-1</f>
        <v>35</v>
      </c>
    </row>
  </sheetData>
  <sheetProtection sheet="1" objects="1" scenarios="1" formatColumns="0" formatRows="0"/>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Responses</vt:lpstr>
      <vt:lpstr>Sentences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Ugur Nemlioglu</cp:lastModifiedBy>
  <dcterms:modified xsi:type="dcterms:W3CDTF">2026-09-20T15:40:08Z</dcterms:modified>
</cp:coreProperties>
</file>