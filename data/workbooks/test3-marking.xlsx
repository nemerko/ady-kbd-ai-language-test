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ude\DoktoraTez\AI-Tests\github\data\workbooks\"/>
    </mc:Choice>
  </mc:AlternateContent>
  <xr:revisionPtr revIDLastSave="0" documentId="13_ncr:1_{BB2ECA79-457A-4EF1-864B-AB1A862413E4}"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Responses" sheetId="2" r:id="rId2"/>
    <sheet name="Sentences"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4" l="1"/>
  <c r="B58" i="4"/>
  <c r="C57" i="4"/>
  <c r="B57" i="4"/>
  <c r="C56" i="4"/>
  <c r="B56" i="4"/>
  <c r="F52" i="4"/>
  <c r="E52" i="4"/>
  <c r="D52" i="4"/>
  <c r="C52" i="4"/>
  <c r="B52" i="4"/>
  <c r="F51" i="4"/>
  <c r="E51" i="4"/>
  <c r="D51" i="4"/>
  <c r="C51" i="4"/>
  <c r="B51" i="4"/>
  <c r="F50" i="4"/>
  <c r="E50" i="4"/>
  <c r="D50" i="4"/>
  <c r="C50" i="4"/>
  <c r="B50" i="4"/>
  <c r="F49" i="4"/>
  <c r="E49" i="4"/>
  <c r="D49" i="4"/>
  <c r="C49" i="4"/>
  <c r="B49" i="4"/>
  <c r="F48" i="4"/>
  <c r="E48" i="4"/>
  <c r="D48" i="4"/>
  <c r="C48" i="4"/>
  <c r="B48" i="4"/>
  <c r="D44" i="4"/>
  <c r="C44" i="4"/>
  <c r="B44" i="4"/>
  <c r="D43" i="4"/>
  <c r="C43" i="4"/>
  <c r="B43" i="4"/>
  <c r="D42" i="4"/>
  <c r="C42" i="4"/>
  <c r="B42" i="4"/>
  <c r="D41" i="4"/>
  <c r="C41" i="4"/>
  <c r="B41" i="4"/>
  <c r="D40" i="4"/>
  <c r="C40" i="4"/>
  <c r="B40" i="4"/>
  <c r="D33" i="4"/>
  <c r="C33" i="4"/>
  <c r="B33" i="4"/>
  <c r="D32" i="4"/>
  <c r="C32" i="4"/>
  <c r="B32" i="4"/>
  <c r="D31" i="4"/>
  <c r="C31" i="4"/>
  <c r="B31" i="4"/>
  <c r="D30" i="4"/>
  <c r="C30" i="4"/>
  <c r="B30" i="4"/>
  <c r="D29" i="4"/>
  <c r="C29" i="4"/>
  <c r="B29" i="4"/>
  <c r="D25" i="4"/>
  <c r="C25" i="4"/>
  <c r="B25" i="4"/>
  <c r="D24" i="4"/>
  <c r="C24" i="4"/>
  <c r="B24" i="4"/>
  <c r="D23" i="4"/>
  <c r="C23" i="4"/>
  <c r="B23" i="4"/>
  <c r="D22" i="4"/>
  <c r="C22" i="4"/>
  <c r="B22" i="4"/>
  <c r="D21" i="4"/>
  <c r="C21" i="4"/>
  <c r="B21" i="4"/>
  <c r="D17" i="4"/>
  <c r="C17" i="4"/>
  <c r="B17" i="4"/>
  <c r="D16" i="4"/>
  <c r="C16" i="4"/>
  <c r="B16" i="4"/>
  <c r="D15" i="4"/>
  <c r="C15" i="4"/>
  <c r="B15" i="4"/>
  <c r="D14" i="4"/>
  <c r="C14" i="4"/>
  <c r="B14" i="4"/>
  <c r="D13" i="4"/>
  <c r="C13" i="4"/>
  <c r="B13" i="4"/>
  <c r="I9" i="4"/>
  <c r="F9" i="4"/>
  <c r="E9" i="4"/>
  <c r="D9" i="4"/>
  <c r="C9" i="4"/>
  <c r="B9" i="4"/>
  <c r="I8" i="4"/>
  <c r="F8" i="4"/>
  <c r="E8" i="4"/>
  <c r="D8" i="4"/>
  <c r="C8" i="4"/>
  <c r="B8" i="4"/>
  <c r="I7" i="4"/>
  <c r="F7" i="4"/>
  <c r="E7" i="4"/>
  <c r="D7" i="4"/>
  <c r="C7" i="4"/>
  <c r="B7" i="4"/>
  <c r="I6" i="4"/>
  <c r="F6" i="4"/>
  <c r="E6" i="4"/>
  <c r="D6" i="4"/>
  <c r="C6" i="4"/>
  <c r="B6" i="4"/>
  <c r="I5" i="4"/>
  <c r="F5" i="4"/>
  <c r="E5" i="4"/>
  <c r="D5" i="4"/>
  <c r="C5" i="4"/>
  <c r="B5" i="4"/>
  <c r="S261" i="3"/>
  <c r="L261" i="3"/>
  <c r="S260" i="3"/>
  <c r="L260" i="3"/>
  <c r="S259" i="3"/>
  <c r="L259" i="3"/>
  <c r="S258" i="3"/>
  <c r="L258" i="3"/>
  <c r="S257" i="3"/>
  <c r="L257" i="3"/>
  <c r="S256" i="3"/>
  <c r="L256" i="3"/>
  <c r="S255" i="3"/>
  <c r="L255" i="3"/>
  <c r="S254" i="3"/>
  <c r="L254" i="3"/>
  <c r="S253" i="3"/>
  <c r="L253" i="3"/>
  <c r="S252" i="3"/>
  <c r="L252" i="3"/>
  <c r="S251" i="3"/>
  <c r="L251" i="3"/>
  <c r="S250" i="3"/>
  <c r="L250" i="3"/>
  <c r="S249" i="3"/>
  <c r="L249" i="3"/>
  <c r="S248" i="3"/>
  <c r="L248" i="3"/>
  <c r="S247" i="3"/>
  <c r="L247" i="3"/>
  <c r="S246" i="3"/>
  <c r="L246" i="3"/>
  <c r="S245" i="3"/>
  <c r="L245" i="3"/>
  <c r="S244" i="3"/>
  <c r="L244" i="3"/>
  <c r="S243" i="3"/>
  <c r="L243" i="3"/>
  <c r="S242" i="3"/>
  <c r="L242" i="3"/>
  <c r="S241" i="3"/>
  <c r="L241" i="3"/>
  <c r="S240" i="3"/>
  <c r="L240" i="3"/>
  <c r="S239" i="3"/>
  <c r="L239" i="3"/>
  <c r="S238" i="3"/>
  <c r="L238" i="3"/>
  <c r="S237" i="3"/>
  <c r="L237" i="3"/>
  <c r="S236" i="3"/>
  <c r="L236" i="3"/>
  <c r="S235" i="3"/>
  <c r="L235" i="3"/>
  <c r="S234" i="3"/>
  <c r="L234" i="3"/>
  <c r="S233" i="3"/>
  <c r="L233" i="3"/>
  <c r="S232" i="3"/>
  <c r="L232" i="3"/>
  <c r="S231" i="3"/>
  <c r="L231" i="3"/>
  <c r="S230" i="3"/>
  <c r="L230" i="3"/>
  <c r="S229" i="3"/>
  <c r="L229" i="3"/>
  <c r="S228" i="3"/>
  <c r="L228" i="3"/>
  <c r="S227" i="3"/>
  <c r="L227" i="3"/>
  <c r="S226" i="3"/>
  <c r="L226" i="3"/>
  <c r="S225" i="3"/>
  <c r="L225" i="3"/>
  <c r="S224" i="3"/>
  <c r="L224" i="3"/>
  <c r="S223" i="3"/>
  <c r="L223" i="3"/>
  <c r="S222" i="3"/>
  <c r="L222" i="3"/>
  <c r="S221" i="3"/>
  <c r="L221" i="3"/>
  <c r="S220" i="3"/>
  <c r="L220" i="3"/>
  <c r="S219" i="3"/>
  <c r="L219" i="3"/>
  <c r="S218" i="3"/>
  <c r="L218" i="3"/>
  <c r="S217" i="3"/>
  <c r="L217" i="3"/>
  <c r="S216" i="3"/>
  <c r="L216" i="3"/>
  <c r="S215" i="3"/>
  <c r="L215" i="3"/>
  <c r="S214" i="3"/>
  <c r="L214" i="3"/>
  <c r="S213" i="3"/>
  <c r="L213" i="3"/>
  <c r="S212" i="3"/>
  <c r="L212" i="3"/>
  <c r="S211" i="3"/>
  <c r="L211" i="3"/>
  <c r="S210" i="3"/>
  <c r="L210" i="3"/>
  <c r="S209" i="3"/>
  <c r="L209" i="3"/>
  <c r="S208" i="3"/>
  <c r="L208" i="3"/>
  <c r="S207" i="3"/>
  <c r="L207" i="3"/>
  <c r="S206" i="3"/>
  <c r="L206" i="3"/>
  <c r="S205" i="3"/>
  <c r="L205" i="3"/>
  <c r="S204" i="3"/>
  <c r="L204" i="3"/>
  <c r="S203" i="3"/>
  <c r="L203" i="3"/>
  <c r="S202" i="3"/>
  <c r="L202" i="3"/>
  <c r="S201" i="3"/>
  <c r="L201" i="3"/>
  <c r="S200" i="3"/>
  <c r="L200" i="3"/>
  <c r="S199" i="3"/>
  <c r="L199" i="3"/>
  <c r="S198" i="3"/>
  <c r="L198" i="3"/>
  <c r="S197" i="3"/>
  <c r="L197" i="3"/>
  <c r="S196" i="3"/>
  <c r="L196" i="3"/>
  <c r="S195" i="3"/>
  <c r="L195" i="3"/>
  <c r="S194" i="3"/>
  <c r="L194" i="3"/>
  <c r="S193" i="3"/>
  <c r="L193" i="3"/>
  <c r="S192" i="3"/>
  <c r="L192" i="3"/>
  <c r="S191" i="3"/>
  <c r="L191" i="3"/>
  <c r="S190" i="3"/>
  <c r="L190" i="3"/>
  <c r="S189" i="3"/>
  <c r="L189" i="3"/>
  <c r="S188" i="3"/>
  <c r="L188" i="3"/>
  <c r="S187" i="3"/>
  <c r="L187" i="3"/>
  <c r="S186" i="3"/>
  <c r="L186" i="3"/>
  <c r="S185" i="3"/>
  <c r="L185" i="3"/>
  <c r="S184" i="3"/>
  <c r="L184" i="3"/>
  <c r="S183" i="3"/>
  <c r="L183" i="3"/>
  <c r="S182" i="3"/>
  <c r="L182" i="3"/>
  <c r="S181" i="3"/>
  <c r="L181" i="3"/>
  <c r="S180" i="3"/>
  <c r="L180" i="3"/>
  <c r="S179" i="3"/>
  <c r="L179" i="3"/>
  <c r="S178" i="3"/>
  <c r="L178" i="3"/>
  <c r="S177" i="3"/>
  <c r="L177" i="3"/>
  <c r="S176" i="3"/>
  <c r="L176" i="3"/>
  <c r="S175" i="3"/>
  <c r="L175" i="3"/>
  <c r="S174" i="3"/>
  <c r="L174" i="3"/>
  <c r="S173" i="3"/>
  <c r="L173" i="3"/>
  <c r="S172" i="3"/>
  <c r="L172" i="3"/>
  <c r="S171" i="3"/>
  <c r="L171" i="3"/>
  <c r="S170" i="3"/>
  <c r="L170" i="3"/>
  <c r="S169" i="3"/>
  <c r="L169" i="3"/>
  <c r="S168" i="3"/>
  <c r="L168" i="3"/>
  <c r="S167" i="3"/>
  <c r="L167" i="3"/>
  <c r="S166" i="3"/>
  <c r="L166" i="3"/>
  <c r="S165" i="3"/>
  <c r="L165" i="3"/>
  <c r="S164" i="3"/>
  <c r="L164" i="3"/>
  <c r="S163" i="3"/>
  <c r="L163" i="3"/>
  <c r="S162" i="3"/>
  <c r="L162" i="3"/>
  <c r="S161" i="3"/>
  <c r="L161" i="3"/>
  <c r="S160" i="3"/>
  <c r="L160" i="3"/>
  <c r="S159" i="3"/>
  <c r="L159" i="3"/>
  <c r="S158" i="3"/>
  <c r="L158" i="3"/>
  <c r="S157" i="3"/>
  <c r="L157" i="3"/>
  <c r="S156" i="3"/>
  <c r="L156" i="3"/>
  <c r="S155" i="3"/>
  <c r="L155" i="3"/>
  <c r="S154" i="3"/>
  <c r="L154" i="3"/>
  <c r="S153" i="3"/>
  <c r="L153" i="3"/>
  <c r="S152" i="3"/>
  <c r="L152" i="3"/>
  <c r="S151" i="3"/>
  <c r="L151" i="3"/>
  <c r="S150" i="3"/>
  <c r="L150" i="3"/>
  <c r="S149" i="3"/>
  <c r="L149" i="3"/>
  <c r="S148" i="3"/>
  <c r="L148" i="3"/>
  <c r="S147" i="3"/>
  <c r="L147" i="3"/>
  <c r="S146" i="3"/>
  <c r="L146" i="3"/>
  <c r="S145" i="3"/>
  <c r="L145" i="3"/>
  <c r="S144" i="3"/>
  <c r="L144" i="3"/>
  <c r="S143" i="3"/>
  <c r="L143" i="3"/>
  <c r="S142" i="3"/>
  <c r="L142" i="3"/>
  <c r="S141" i="3"/>
  <c r="L141" i="3"/>
  <c r="S140" i="3"/>
  <c r="L140" i="3"/>
  <c r="S139" i="3"/>
  <c r="L139" i="3"/>
  <c r="S138" i="3"/>
  <c r="L138" i="3"/>
  <c r="S137" i="3"/>
  <c r="L137" i="3"/>
  <c r="S136" i="3"/>
  <c r="L136" i="3"/>
  <c r="S135" i="3"/>
  <c r="L135" i="3"/>
  <c r="S134" i="3"/>
  <c r="L134" i="3"/>
  <c r="S133" i="3"/>
  <c r="L133" i="3"/>
  <c r="S132" i="3"/>
  <c r="L132" i="3"/>
  <c r="S131" i="3"/>
  <c r="L131" i="3"/>
  <c r="S130" i="3"/>
  <c r="L130" i="3"/>
  <c r="S129" i="3"/>
  <c r="L129" i="3"/>
  <c r="S128" i="3"/>
  <c r="L128" i="3"/>
  <c r="S127" i="3"/>
  <c r="L127" i="3"/>
  <c r="S126" i="3"/>
  <c r="L126" i="3"/>
  <c r="S125" i="3"/>
  <c r="L125" i="3"/>
  <c r="S124" i="3"/>
  <c r="L124" i="3"/>
  <c r="S123" i="3"/>
  <c r="L123" i="3"/>
  <c r="S122" i="3"/>
  <c r="L122" i="3"/>
  <c r="S121" i="3"/>
  <c r="L121" i="3"/>
  <c r="S120" i="3"/>
  <c r="L120" i="3"/>
  <c r="S119" i="3"/>
  <c r="L119" i="3"/>
  <c r="S118" i="3"/>
  <c r="L118" i="3"/>
  <c r="S117" i="3"/>
  <c r="L117" i="3"/>
  <c r="S116" i="3"/>
  <c r="L116" i="3"/>
  <c r="S115" i="3"/>
  <c r="L115" i="3"/>
  <c r="S114" i="3"/>
  <c r="L114" i="3"/>
  <c r="S113" i="3"/>
  <c r="L113" i="3"/>
  <c r="S112" i="3"/>
  <c r="L112" i="3"/>
  <c r="S111" i="3"/>
  <c r="L111" i="3"/>
  <c r="S110" i="3"/>
  <c r="L110" i="3"/>
  <c r="S109" i="3"/>
  <c r="L109" i="3"/>
  <c r="S108" i="3"/>
  <c r="L108" i="3"/>
  <c r="S107" i="3"/>
  <c r="L107" i="3"/>
  <c r="S106" i="3"/>
  <c r="L106" i="3"/>
  <c r="S105" i="3"/>
  <c r="L105" i="3"/>
  <c r="S104" i="3"/>
  <c r="L104" i="3"/>
  <c r="S103" i="3"/>
  <c r="L103" i="3"/>
  <c r="S102" i="3"/>
  <c r="L102" i="3"/>
  <c r="S101" i="3"/>
  <c r="L101" i="3"/>
  <c r="S100" i="3"/>
  <c r="L100" i="3"/>
  <c r="S99" i="3"/>
  <c r="L99" i="3"/>
  <c r="S98" i="3"/>
  <c r="L98" i="3"/>
  <c r="S97" i="3"/>
  <c r="L97" i="3"/>
  <c r="S96" i="3"/>
  <c r="L96" i="3"/>
  <c r="S95" i="3"/>
  <c r="L95" i="3"/>
  <c r="S94" i="3"/>
  <c r="L94" i="3"/>
  <c r="S93" i="3"/>
  <c r="L93" i="3"/>
  <c r="S92" i="3"/>
  <c r="L92" i="3"/>
  <c r="S91" i="3"/>
  <c r="L91" i="3"/>
  <c r="S90" i="3"/>
  <c r="L90" i="3"/>
  <c r="S89" i="3"/>
  <c r="L89" i="3"/>
  <c r="S88" i="3"/>
  <c r="L88" i="3"/>
  <c r="S87" i="3"/>
  <c r="L87" i="3"/>
  <c r="S86" i="3"/>
  <c r="L86" i="3"/>
  <c r="S85" i="3"/>
  <c r="L85" i="3"/>
  <c r="S84" i="3"/>
  <c r="L84" i="3"/>
  <c r="S83" i="3"/>
  <c r="L83" i="3"/>
  <c r="S82" i="3"/>
  <c r="L82" i="3"/>
  <c r="S81" i="3"/>
  <c r="L81" i="3"/>
  <c r="S80" i="3"/>
  <c r="L80" i="3"/>
  <c r="S79" i="3"/>
  <c r="L79" i="3"/>
  <c r="S78" i="3"/>
  <c r="L78" i="3"/>
  <c r="S77" i="3"/>
  <c r="L77" i="3"/>
  <c r="S76" i="3"/>
  <c r="L76" i="3"/>
  <c r="S75" i="3"/>
  <c r="L75" i="3"/>
  <c r="S74" i="3"/>
  <c r="L74" i="3"/>
  <c r="S73" i="3"/>
  <c r="L73" i="3"/>
  <c r="S72" i="3"/>
  <c r="L72" i="3"/>
  <c r="S71" i="3"/>
  <c r="L71" i="3"/>
  <c r="S70" i="3"/>
  <c r="L70" i="3"/>
  <c r="S69" i="3"/>
  <c r="L69" i="3"/>
  <c r="S68" i="3"/>
  <c r="L68" i="3"/>
  <c r="S67" i="3"/>
  <c r="L67" i="3"/>
  <c r="S66" i="3"/>
  <c r="L66" i="3"/>
  <c r="S65" i="3"/>
  <c r="L65" i="3"/>
  <c r="S64" i="3"/>
  <c r="L64" i="3"/>
  <c r="S63" i="3"/>
  <c r="L63" i="3"/>
  <c r="S62" i="3"/>
  <c r="L62" i="3"/>
  <c r="S61" i="3"/>
  <c r="L61" i="3"/>
  <c r="S60" i="3"/>
  <c r="L60" i="3"/>
  <c r="S59" i="3"/>
  <c r="L59" i="3"/>
  <c r="S58" i="3"/>
  <c r="L58" i="3"/>
  <c r="S57" i="3"/>
  <c r="L57" i="3"/>
  <c r="S56" i="3"/>
  <c r="L56" i="3"/>
  <c r="S55" i="3"/>
  <c r="L55" i="3"/>
  <c r="S54" i="3"/>
  <c r="L54" i="3"/>
  <c r="S53" i="3"/>
  <c r="L53" i="3"/>
  <c r="S52" i="3"/>
  <c r="L52" i="3"/>
  <c r="S51" i="3"/>
  <c r="L51" i="3"/>
  <c r="S50" i="3"/>
  <c r="L50" i="3"/>
  <c r="S49" i="3"/>
  <c r="L49" i="3"/>
  <c r="S48" i="3"/>
  <c r="L48" i="3"/>
  <c r="S47" i="3"/>
  <c r="L47" i="3"/>
  <c r="S46" i="3"/>
  <c r="L46" i="3"/>
  <c r="S45" i="3"/>
  <c r="L45" i="3"/>
  <c r="S44" i="3"/>
  <c r="L44" i="3"/>
  <c r="S43" i="3"/>
  <c r="L43" i="3"/>
  <c r="S42" i="3"/>
  <c r="L42" i="3"/>
  <c r="S41" i="3"/>
  <c r="L41" i="3"/>
  <c r="S40" i="3"/>
  <c r="L40" i="3"/>
  <c r="S39" i="3"/>
  <c r="L39" i="3"/>
  <c r="S38" i="3"/>
  <c r="L38" i="3"/>
  <c r="S37" i="3"/>
  <c r="L37" i="3"/>
  <c r="S36" i="3"/>
  <c r="L36" i="3"/>
  <c r="S35" i="3"/>
  <c r="L35" i="3"/>
  <c r="S34" i="3"/>
  <c r="L34" i="3"/>
  <c r="S33" i="3"/>
  <c r="L33" i="3"/>
  <c r="S32" i="3"/>
  <c r="L32" i="3"/>
  <c r="S31" i="3"/>
  <c r="L31" i="3"/>
  <c r="S30" i="3"/>
  <c r="L30" i="3"/>
  <c r="S29" i="3"/>
  <c r="L29" i="3"/>
  <c r="S28" i="3"/>
  <c r="L28" i="3"/>
  <c r="S27" i="3"/>
  <c r="L27" i="3"/>
  <c r="S26" i="3"/>
  <c r="L26" i="3"/>
  <c r="S25" i="3"/>
  <c r="L25" i="3"/>
  <c r="S24" i="3"/>
  <c r="L24" i="3"/>
  <c r="S23" i="3"/>
  <c r="L23" i="3"/>
  <c r="S22" i="3"/>
  <c r="L22" i="3"/>
  <c r="S21" i="3"/>
  <c r="L21" i="3"/>
  <c r="S20" i="3"/>
  <c r="L20" i="3"/>
  <c r="S19" i="3"/>
  <c r="L19" i="3"/>
  <c r="S18" i="3"/>
  <c r="L18" i="3"/>
  <c r="S17" i="3"/>
  <c r="L17" i="3"/>
  <c r="S16" i="3"/>
  <c r="L16" i="3"/>
  <c r="S15" i="3"/>
  <c r="L15" i="3"/>
  <c r="S14" i="3"/>
  <c r="L14" i="3"/>
  <c r="S13" i="3"/>
  <c r="L13" i="3"/>
  <c r="S12" i="3"/>
  <c r="L12" i="3"/>
  <c r="S11" i="3"/>
  <c r="L11" i="3"/>
  <c r="S10" i="3"/>
  <c r="G50" i="4" s="1"/>
  <c r="L10" i="3"/>
  <c r="S9" i="3"/>
  <c r="L9" i="3"/>
  <c r="S8" i="3"/>
  <c r="L8" i="3"/>
  <c r="S7" i="3"/>
  <c r="L7" i="3"/>
  <c r="S6" i="3"/>
  <c r="L6" i="3"/>
  <c r="S5" i="3"/>
  <c r="G49" i="4" s="1"/>
  <c r="L5" i="3"/>
  <c r="S4" i="3"/>
  <c r="L4" i="3"/>
  <c r="S3" i="3"/>
  <c r="L3" i="3"/>
  <c r="S2" i="3"/>
  <c r="G48" i="4" s="1"/>
  <c r="L2" i="3"/>
  <c r="G52" i="4" l="1"/>
  <c r="G51" i="4"/>
  <c r="B36" i="4"/>
  <c r="H5" i="4"/>
  <c r="G5" i="4"/>
  <c r="G9" i="4"/>
  <c r="H6" i="4"/>
  <c r="G6" i="4"/>
  <c r="H9" i="4"/>
  <c r="H8" i="4"/>
  <c r="G8" i="4"/>
  <c r="H7" i="4"/>
  <c r="G7" i="4"/>
</calcChain>
</file>

<file path=xl/sharedStrings.xml><?xml version="1.0" encoding="utf-8"?>
<sst xmlns="http://schemas.openxmlformats.org/spreadsheetml/2006/main" count="1666" uniqueCount="580">
  <si>
    <t>ady-kbd AI Language Testing Tool</t>
  </si>
  <si>
    <t/>
  </si>
  <si>
    <t>What this test measures</t>
  </si>
  <si>
    <t>Bu test neyi ölçüyor</t>
  </si>
  <si>
    <t>Что измеряет этот тест</t>
  </si>
  <si>
    <t>This test does not measure translation quality, but Adyghe conversational competence. Every question is a request expressed in Adyghe. What is judged is whether the tool understood this request and attempted to meet it. Questions four and five contain a translation task, but what is measured is not the accuracy of the translation, but whether the request was understood: even a wrong translation is still a translation, and shows that the request was understood. Returning a Turkish answer to a Turkish paragraph would mean the request was not understood.</t>
  </si>
  <si>
    <t>Bu test çeviri kalitesini değil, Adıgece sohbet yetkinliğini ölçer. Her soru Adıgece ifade edilmiş bir istektir. Yargılanan şey, aracın bu isteği anlayıp anlamadığı ve karşılamaya çalışıp çalışmadığıdır. Dördüncü ve beşinci sorularda bir çeviri görevi vardır, ama ölçülen çevirinin doğruluğu değil, isteğin anlaşılmasıdır: yanlış çeviri de bir çeviridir ve isteğin anlaşıldığını gösterir. Türkçe bir paragraf verildiğinde Türkçe yanıt dönmesi, isteğin anlaşılmadığı anlamına gelirdi.</t>
  </si>
  <si>
    <t>Этот тест измеряет не качество перевода, а разговорную компетентность на адыгейском языке. Каждый вопрос — это просьба, выраженная на адыгейском. Оценивается то, понял ли инструмент эту просьбу и попытался ли её выполнить. В четвёртом и пятом вопросах есть задача перевода, но измеряется не точность перевода, а понимание просьбы: даже неверный перевод остаётся переводом и показывает, что просьба была понята. Если на турецкий абзац был бы дан турецкий ответ, это означало бы, что просьба не была понята.</t>
  </si>
  <si>
    <t>Metadata</t>
  </si>
  <si>
    <t>Künye</t>
  </si>
  <si>
    <t>Метаданные</t>
  </si>
  <si>
    <t>Test / Round
Test / Tur
Тест / Раунд</t>
  </si>
  <si>
    <t>Test 3 (round2)</t>
  </si>
  <si>
    <t>Generated (UTC)
Üretildi (UTC)
Создано (UTC)</t>
  </si>
  <si>
    <t>2026-10-20 20:06:43</t>
  </si>
  <si>
    <t>Source files
Kaynak dosyalar
Исходные файлы</t>
  </si>
  <si>
    <t>Test3-AI-Tool1-Result.txt, Test3-AI-Tool2-Result.txt, Test3-AI-Tool3-Result.txt, Test3-AI-Tool4-Result.txt, Test3-AI-Tool5-Result.txt</t>
  </si>
  <si>
    <t>Tool version
Araç sürümü
Версия инструмента</t>
  </si>
  <si>
    <t>ady-kbd AI Language Testing Tool 1.0.0</t>
  </si>
  <si>
    <t>Evaluators
Değerlendiriciler
Оценщики</t>
  </si>
  <si>
    <t>Mehmet Uğur Nemlioğlu, Dr. Saida Abregova Nemlioğlu</t>
  </si>
  <si>
    <t>Evaluation method
Değerlendirme yöntemi
Метод оценки</t>
  </si>
  <si>
    <t>Consensus: both evaluators read and discuss together, and record one agreed judgement
Uzlaşı: ikisi birlikte okur, tartışır, tek hüküm kaydeder
Консенсус: оба оценщика читают и обсуждают вместе и записывают одно согласованное решение</t>
  </si>
  <si>
    <t>Evaluation date (fill in)
Değerlendirme tarihi (doldurun)
Дата оценки (заполните)</t>
  </si>
  <si>
    <t>Total responses
Toplam yanıt
Всего ответов</t>
  </si>
  <si>
    <t>35</t>
  </si>
  <si>
    <t>Decision table</t>
  </si>
  <si>
    <t>Karar tablosu</t>
  </si>
  <si>
    <t>Таблица решений</t>
  </si>
  <si>
    <t>Code</t>
  </si>
  <si>
    <t>Question</t>
  </si>
  <si>
    <t>Soru</t>
  </si>
  <si>
    <t>Вопрос</t>
  </si>
  <si>
    <t>FRM: form / biçim / форма</t>
  </si>
  <si>
    <t>Is the right word chosen, but its affix or inflection wrong?</t>
  </si>
  <si>
    <t>Doğru sözcük seçilmiş ama eki ya da çekimi mi yanlış?</t>
  </si>
  <si>
    <t>Слово выбрано правильно, но неверен его аффикс или словоизменение?</t>
  </si>
  <si>
    <t>CHO: choice / seçim / выбор</t>
  </si>
  <si>
    <t>Is the word well formed, but the wrong word for the intended meaning?</t>
  </si>
  <si>
    <t>Sözcük doğru kurulmuş ama anlam için yanlış sözcük mü seçilmiş?</t>
  </si>
  <si>
    <t>Слово образовано правильно, но по смыслу выбрано не то слово?</t>
  </si>
  <si>
    <t>MIX: mixing / karışma / смешение</t>
  </si>
  <si>
    <t>Is the word taken from another language and left in that language's own form? The contact language is recorded as well.</t>
  </si>
  <si>
    <t>Sözcük başka bir dilden, o dilin kendi biçimiyle olduğu gibi mi alınmış? Kaynak dil ayrıca kaydedilir.</t>
  </si>
  <si>
    <t>Слово взято из другого языка и оставлено в его собственной форме? Язык-источник записывается отдельно.</t>
  </si>
  <si>
    <t>INV: invented / uydurma / выдуманное</t>
  </si>
  <si>
    <t>Even if the root and affixes are familiar, is this a combination the language does not use?</t>
  </si>
  <si>
    <t>Kök ve ekler tanıdık olsa bile, bu birleşimi dil kullanmıyor mu?</t>
  </si>
  <si>
    <t>Даже если корень и аффиксы знакомы, такое сочетание в языке не используется?</t>
  </si>
  <si>
    <t>TRM: term / terim / термин</t>
  </si>
  <si>
    <t>Is the word an established loan, adapted to the language, used where a recognised native term exists? This is not an error.</t>
  </si>
  <si>
    <t>Sözcük, dile uyarlanmış yerleşik bir alıntı ama kabul görmüş yerli bir karşılığı var mı? Hata değildir.</t>
  </si>
  <si>
    <t>Слово — устоявшееся заимствование, приспособленное к языку, но есть признанный местный термин? Это не ошибка.</t>
  </si>
  <si>
    <t>Each word is counted under exactly one code. Read the table top to bottom; the code of the first row that answers "yes" is that word's code. Counting a word under two categories at once corrupts both the correct-word count and the contact-language total.</t>
  </si>
  <si>
    <t>Her sözcük yalnızca bir koda sayılır. Tabloyu yukarıdan aşağıya okuyun; ilk "evet" yanıtını veren satırın kodu o sözcüğün kodudur. Bir sözcüğü iki kategoriye birden saymak, doğru sözcük sayısını ve temas dili toplamını bozar.</t>
  </si>
  <si>
    <t>Каждое слово засчитывается только по одному коду. Читайте таблицу сверху вниз; код той строки, на которую первым получен ответ «да», и есть код этого слова. Если засчитать слово сразу в две категории, это испортит и подсчёт правильных слов, и сумму языков контаката.</t>
  </si>
  <si>
    <t>A practical way to tell these three apart: try writing the word correctly. If you can write a proper form of the same word, it is FRM; if you can, but what you write is a different word, it is CHO; if there is no correct form to write, it is INV.</t>
  </si>
  <si>
    <t>Bu üçünü ayırmanın pratik yolu: sözcüğün doğrusunu yazmayı dene. Aynı sözcüğün düzgün hâlini yazabiliyorsan FRM; yazabiliyorsun ama yazdığın başka bir sözcükse CHO; yazacak doğru bir hâl yoksa INV.</t>
  </si>
  <si>
    <t>Практический способ различить эти три: попробуйте написать слово правильно. Если вы можете написать правильную форму того же слова — это FRM; если можете, но написанное — другое слово, это CHO; если правильной формы не существует — это INV.</t>
  </si>
  <si>
    <t>The boundary between MIX and TRM is adaptation. A word left in the source language's form is MIX; a word adapted to this language's morphology and part of its lexicon is TRM -- and TRM is not an error.</t>
  </si>
  <si>
    <t>MIX ile TRM arasındaki ayrım uyarlamadır. Sözcük kaynak dilin biçiminde duruyorsa MIX; dilin biçimbilgisine uyarlanmış ve söz varlığına girmişse TRM — ve TRM hata değildir.</t>
  </si>
  <si>
    <t>Граница между MIX и TRM — это адаптация. Слово, оставленное в форме языка-источника, — это MIX; слово, приспособленное к морфологии этого языка и вошедшее в его словарный состав, — это TRM, и TRM не является ошибкой.</t>
  </si>
  <si>
    <t>Code dictionary</t>
  </si>
  <si>
    <t>Kod sözlüğü</t>
  </si>
  <si>
    <t>Словарь кодов</t>
  </si>
  <si>
    <t>EN</t>
  </si>
  <si>
    <t>TR</t>
  </si>
  <si>
    <t>RU</t>
  </si>
  <si>
    <t>Sentence verdict (Sentences sheet, column G)</t>
  </si>
  <si>
    <t>Cümle yargısı (Cümleler sayfası, G sütunu)</t>
  </si>
  <si>
    <t>Оценка предложения (лист Предложения, столбец G)</t>
  </si>
  <si>
    <t>C1</t>
  </si>
  <si>
    <t>correct</t>
  </si>
  <si>
    <t>doğru</t>
  </si>
  <si>
    <t>правильно</t>
  </si>
  <si>
    <t>C2</t>
  </si>
  <si>
    <t>faulty but comprehensible</t>
  </si>
  <si>
    <t>yanlış ama anlaşılır</t>
  </si>
  <si>
    <t>понятно</t>
  </si>
  <si>
    <t>C3</t>
  </si>
  <si>
    <t>faulty and incomprehensible</t>
  </si>
  <si>
    <t>yanlış ve anlamsız</t>
  </si>
  <si>
    <t>непонятно</t>
  </si>
  <si>
    <t>Word codes (Sentences sheet: error codes H-K, term choice M)</t>
  </si>
  <si>
    <t>Sözcük kodları (Cümleler sayfası: hata kodları H–K, terim tercihi M)</t>
  </si>
  <si>
    <t>Коды слов (лист Предложения: коды ошибок H-K, выбор термина M)</t>
  </si>
  <si>
    <t>wrong form</t>
  </si>
  <si>
    <t>biçim hatası</t>
  </si>
  <si>
    <t>ошибка формы</t>
  </si>
  <si>
    <t>wrong word choice</t>
  </si>
  <si>
    <t>yanlış sözcük</t>
  </si>
  <si>
    <t>неверный выбор слова</t>
  </si>
  <si>
    <t>invented word</t>
  </si>
  <si>
    <t>uydurma</t>
  </si>
  <si>
    <t>выдуманное слово</t>
  </si>
  <si>
    <t>code mixing</t>
  </si>
  <si>
    <t>karışma</t>
  </si>
  <si>
    <t>смешение кодов</t>
  </si>
  <si>
    <t>term choice (not an error)</t>
  </si>
  <si>
    <t>terim tercihi (hata değil)</t>
  </si>
  <si>
    <t>выбор термина (не ошибка)</t>
  </si>
  <si>
    <t>Language compliance (Responses sheet, column I)</t>
  </si>
  <si>
    <t>Dil uyumu (Yanıtlar sayfası, I sütunu)</t>
  </si>
  <si>
    <t>Соответствие языку (лист Ответы, столбец I)</t>
  </si>
  <si>
    <t>TAM</t>
  </si>
  <si>
    <t>full</t>
  </si>
  <si>
    <t>tam</t>
  </si>
  <si>
    <t>полное</t>
  </si>
  <si>
    <t>KISMEN</t>
  </si>
  <si>
    <t>partial</t>
  </si>
  <si>
    <t>kısmen</t>
  </si>
  <si>
    <t>частичное</t>
  </si>
  <si>
    <t>UYUM_YOK</t>
  </si>
  <si>
    <t>none</t>
  </si>
  <si>
    <t>uyum yok</t>
  </si>
  <si>
    <t>нет</t>
  </si>
  <si>
    <t>Semantic adequacy (Responses sheet, column J)</t>
  </si>
  <si>
    <t>Semantik yeterlik (Yanıtlar sayfası, J sütunu)</t>
  </si>
  <si>
    <t>Семантическая адекватность (лист Ответы, столбец J)</t>
  </si>
  <si>
    <t>KARSILADI</t>
  </si>
  <si>
    <t>met the request</t>
  </si>
  <si>
    <t>karşıladı</t>
  </si>
  <si>
    <t>отвечает</t>
  </si>
  <si>
    <t>KISMEN_KARSILADI</t>
  </si>
  <si>
    <t>partially met it</t>
  </si>
  <si>
    <t>kısmen karşıladı</t>
  </si>
  <si>
    <t>частично</t>
  </si>
  <si>
    <t>ALAKASIZ</t>
  </si>
  <si>
    <t>unrelated</t>
  </si>
  <si>
    <t>alakasız</t>
  </si>
  <si>
    <t>не по теме</t>
  </si>
  <si>
    <t>Marked (Responses sheet, column K)</t>
  </si>
  <si>
    <t>İşaretlendi (Yanıtlar sayfası, K sütunu)</t>
  </si>
  <si>
    <t>Размечено (лист Ответы, столбец K)</t>
  </si>
  <si>
    <t>EVET</t>
  </si>
  <si>
    <t>yes</t>
  </si>
  <si>
    <t>evet</t>
  </si>
  <si>
    <t>да</t>
  </si>
  <si>
    <t>HAYIR</t>
  </si>
  <si>
    <t>no</t>
  </si>
  <si>
    <t>hayır</t>
  </si>
  <si>
    <t>Question 7 verdict (Responses sheet, column L)</t>
  </si>
  <si>
    <t>7. soru yargısı (Yanıtlar sayfası, L sütunu)</t>
  </si>
  <si>
    <t>Оценка вопроса 7 (лист Ответы, столбец L)</t>
  </si>
  <si>
    <t>FARKI_DOGRU_BULDU</t>
  </si>
  <si>
    <t>processed both texts</t>
  </si>
  <si>
    <t>iki metni de işlemiştir</t>
  </si>
  <si>
    <t>обработал оба текста</t>
  </si>
  <si>
    <t>FARK_YOK_DEDI</t>
  </si>
  <si>
    <t>did not align the texts</t>
  </si>
  <si>
    <t>metinleri hizalamamıştır</t>
  </si>
  <si>
    <t>не сопоставил тексты</t>
  </si>
  <si>
    <t>FARKI_YANLIS_BULDU</t>
  </si>
  <si>
    <t>invented a difference that is not there (hallucination)</t>
  </si>
  <si>
    <t>olmayan bir fark uydurmuştur (halüsinasyon)</t>
  </si>
  <si>
    <t>придумал несуществующее различие (галлюцинация)</t>
  </si>
  <si>
    <t>Contact languages (Sentences sheet, columns N-R)</t>
  </si>
  <si>
    <t>Temas dilleri (Cümleler sayfası, N–R sütunları)</t>
  </si>
  <si>
    <t>Языки контакта (лист Предложения, столбцы N-R)</t>
  </si>
  <si>
    <t>KBD</t>
  </si>
  <si>
    <t>Kabardian</t>
  </si>
  <si>
    <t>Kabartayca</t>
  </si>
  <si>
    <t>кабардинский</t>
  </si>
  <si>
    <t>RUS</t>
  </si>
  <si>
    <t>Russian</t>
  </si>
  <si>
    <t>Rusça</t>
  </si>
  <si>
    <t>русский</t>
  </si>
  <si>
    <t>TUR</t>
  </si>
  <si>
    <t>Turkish</t>
  </si>
  <si>
    <t>Türkçe</t>
  </si>
  <si>
    <t>турецкий</t>
  </si>
  <si>
    <t>ENG</t>
  </si>
  <si>
    <t>English</t>
  </si>
  <si>
    <t>İngilizce</t>
  </si>
  <si>
    <t>английский</t>
  </si>
  <si>
    <t>OTHER</t>
  </si>
  <si>
    <t>Other</t>
  </si>
  <si>
    <t>Diğer</t>
  </si>
  <si>
    <t>Прочие</t>
  </si>
  <si>
    <t>What TRM means</t>
  </si>
  <si>
    <t>TRM ne demek</t>
  </si>
  <si>
    <t>Что означает TRM</t>
  </si>
  <si>
    <t>TRM is not a language error. The word is correctly formed and the meaning is right; only an established loan term was chosen when a recognised native equivalent exists. What it measures is not the tool's competence, but whether term planning has reached that tool. This is why it is counted separately from the error columns.
The boundary is adaptation:
· искусственнэ интеллект -- adapted to Adyghe morphology, part of the vocabulary -&gt; TRM if used while a native equivalent (Ӏэрышӏ акъыл) exists
· искусственный интеллект -- in the source language's own form -&gt; MIX (contact language: RUS)
· искусственнай интеллект -- standard in neither Russian nor Adyghe -&gt; INV
Term choice does not reduce the correct-word count -- that is why it sits apart from the error columns, after the correct-words column, instead of among them.
Words counted as term choice are never written into the contact-language columns. Those columns are only the source-language breakdown of words counted as code mixing (MIX); that is why their total must equal the code-mixing column.</t>
  </si>
  <si>
    <t>TRM bir dil hatası değildir. Sözcük doğru kurulmuştur, anlam yerindedir; yalnızca kabul görmüş yerli karşılık varken yerleşik ödünç terim seçilmiştir. Ölçtüğü şey aracın yetkinliği değil, terim planlamasının o araca ulaşıp ulaşmadığıdır. Bu yüzden hata sütunlarından ayrı sayılır.
Sınır uyarlanmadır:
· искусственнэ интеллект -- Adıge biçimbilimine uyarlanmış, sözvarlığının parçası -&gt; yerli karşılık (Ӏэрышӏ акъыл) varken kullanılmışsa TRM
· искусственный интеллект -- kaynak dilin kendi biçiminde -&gt; MIX (temas dili: RUS)
· искусственнай интеллект -- ne Rusçada ne Adıgecede ölçünlü -&gt; INV
Terim tercihi doğru sözcük sayısını azaltmaz -- bu yüzden hata sütunlarının arasında değil, doğru sözcük sütununun ardında, onlardan ayrı durur.
Terim tercihi sayılan sözcükler temas dili sütunlarına yazılmaz. Temas dili sütunları yalnızca kod karışımı (MIX) sayılan sözcüklerin kaynak dile göre dağılımıdır; bu yüzden toplamları kod karışımı sütununa eşit olmalıdır.</t>
  </si>
  <si>
    <t>TRM — это не языковая ошибка. Слово образовано правильно, значение уместно; выбран лишь устоявшийся заимствованный термин при наличии признанного местного эквивалента. Измеряется не компетентность инструмента, а то, дошло ли терминологическое планирование до этого инструмента. Поэтому он считается отдельно от столбцов ошибок.
Граница — это адаптация:
· искусственнэ интеллект — адаптировано к адыгейской морфологии, часть словарного состава → TRM, если использовано при наличии местного эквивалента (Ӏэрышӏ акъыл)
· искусственный интеллект — в собственной форме языка-источника → MIX (язык контакта: RUS)
· искусственнай интеллект — не является стандартом ни в русском, ни в адыгейском → INV
Выбор термина не уменьшает число правильных слов — поэтому он стоит отдельно от столбцов ошибок, после столбца правильных слов, а не среди них.
Слова, засчитанные как выбор термина, никогда не вписываются в столбцы языков контакта. Эти столбцы — лишь разбивка по языку-источнику слов, засчитанных как смешение кодов (MIX); поэтому их сумма должна совпадать со столбцом смешения кодов.</t>
  </si>
  <si>
    <t>Instructions</t>
  </si>
  <si>
    <t>Yönerge</t>
  </si>
  <si>
    <t>Инструкция</t>
  </si>
  <si>
    <t>On the Responses sheet, mark language compliance, semantic adequacy and Marked (I-K) for every response, and Question 7 verdict (L) for question 7's rows only. On the Sentences sheet, mark every sentence's verdict (G) and, for faulty sentences, count how many words fall into each error category (H-K) and, separately, how many are term choice (M) -- term choice is not an error. Count words from each of the four listed contact languages (N-Q) and, for every other language combined, the total word count (R). Columns L and S compute themselves; do not edit them. If a response's language compliance is UYUM_YOK (no compliance), leave its sentences unlabelled -- judging a text that is not in the target language on this scale is meaningless.
Contact-language columns take a word count, not a mark. A cell left blank or set to zero means that language is not present in that sentence.
The Other column is the total word count for every language not on the list; no language name is written there -- if needed, note it in the Note column.
Correct words and the total-words-in-other-languages columns compute themselves. The total must equal the code-mixing column's own count; if it does not, a word was either missed or counted twice.
If you mark a sentence C1 (correct), that sentence cannot contain a word counted under an error code (FRM, CHO, INV or MIX). The reverse is not true: a sentence whose every word is correct can still be C2 or C3 because of word order -- word order is a property of the sentence, not of its words. Term choice is outside this rule; a C1 sentence can contain a term choice.
In a response whose language compliance is KISMEN (partial), sentences in the target language are labelled normally; sentences in another language are left with their verdict and word counts blank, and the situation is noted in the Note column. In a response whose language compliance is UYUM_YOK (none), no sentence is labelled.</t>
  </si>
  <si>
    <t>Yanıtlar sayfasında her yanıt için dil uyumu, semantik yeterlik ve Değerlendirildi alanlarını (I-K), yalnız 7. sorunun satırlarında 7. soru yargısını (L) doldurun. Cümleler sayfasında her cümlenin yargısını (G) işaretleyin; hatalı cümlelerde her hata kategorisinden kaç sözcük olduğunu sayın (H-K) ve ayrıca kaç sözcüğün terim tercihi (M) olduğunu sayın -- terim tercihi hata değildir. Listedeki dört temas dilinden hangisinden kaç sözcük karıştıysa sayın (N-Q), listede olmayan bütün diller için toplam sözcük sayısını yazın (R). L ve S sütunları kendilerini hesaplar, elle değiştirmeyin. Bir yanıtın dil uyumu UYUM_YOK ise o yanıtın cümlelerini etiketlemeyin -- hedef dilde olmayan bir metni bu ölçekle yargılamak anlamsızdır.
Temas dili sütunlarına işaret değil sözcük sayısı yazılır. Boş bırakılan ya da sıfır yazılan hücre, o dilin o cümlede bulunmadığı anlamına gelir.
Diğer sütunu, listede bulunmayan bütün dillerdeki başka dilde sözcük sayısının toplamıdır; dil adı yazılmaz, gerekiyorsa Not sütununa yazılır.
Doğru sözcük ve farklı dillerdeki sözcük toplamı sütunları kendilerini hesaplar. Toplam, kod karışımı sütunuyla aynı sayıyı vermelidir; vermiyorsa bir sözcük ya sayılmamış ya iki kez sayılmıştır.
Bir cümleyi C1 (doğru) işaretlediysen o cümlede hata kodu (FRM, CHO, INV ya da MIX) sayılmış sözcük bulunamaz. Bunun tersi geçerli değildir: bütün sözcükleri doğru olan bir cümle, sözdizimi nedeniyle C2 ya da C3 olabilir -- sözdizimi cümlenin özelliğidir. Terim tercihi bu kuralın dışındadır; C1 bir cümlede terim tercihi bulunabilir.
Dil uyumu KISMEN olan bir yanıtta, hedef dildeki cümleler normal biçimde etiketlenir; başka dilde olan cümlelerin yargısı ve sözcük sayıları boş bırakılır ve durum Not sütununa yazılır. Dil uyumu UYUM_YOK olan yanıtta hiçbir cümle etiketlenmez.</t>
  </si>
  <si>
    <t>На листе Ответы для каждого ответа заполните соответствие языку, семантическую адекватность и Размечено (I-K), а оценку вопроса 7 (L) -- только для строк седьмого вопроса. На листе Предложения отмечайте оценку каждого предложения (G) и, для ошибочных предложений, сосчитайте слова по каждой категории ошибок (H-K) и отдельно -- сколько из них являются выбором термина (M) -- выбор термина не является ошибкой. Сосчитайте слова из каждого из четырёх языков контакта из списка (N-Q) и, для всех остальных языков вместе, общее число слов (R). Столбцы L и S вычисляются сами, не редактируйте их. Если соответствие языку ответа — UYUM_YOK, не размечайте его предложения.
В столбцы языков контакта вписывается количество слов, а не отметка. Пустая ячейка или ноль означают, что этого языка в этом предложении нет.
Столбец «Прочие» — это сумма слов на всех языках, не входящих в список; название языка не пишется, при необходимости — в столбце Примечание.
Столбцы «Правильные слова» и «Всего слов на других языках» вычисляются сами. Итог должен совпадать со столбцом смешения кодов; если не совпадает, слово либо не посчитано, либо посчитано дважды.
Если вы отметили предложение как C1 (правильное), в этом предложении не может быть слова, засчитанного под кодом ошибки (FRM, CHO, INV или MIX). Обратное не верно: предложение, в котором все слова правильны, всё же может быть C2 или C3 из-за порядка слов -- порядок слов является свойством предложения, а не слов. Выбор термина не подпадает под это правило; в предложении C1 может быть выбор термина.
В ответе, где соответствие языку -- KISMEN (частичное), предложения на целевом языке размечаются обычным образом; у предложений на другом языке оценка и количество слов оставляются пустыми, а ситуация отмечается в столбце Примечание. В ответе, где соответствие языку -- UYUM_YOK (нет), ни одно предложение не размечается.</t>
  </si>
  <si>
    <t>Key
Anahtar
Ключ</t>
  </si>
  <si>
    <t>Question
Soru
Вопрос</t>
  </si>
  <si>
    <t>Tool no
Araç no
№ инструмента</t>
  </si>
  <si>
    <t>Tool name
Araç adı
Инструмент</t>
  </si>
  <si>
    <t>Question text
Soru metni
Текст вопроса</t>
  </si>
  <si>
    <t>Answer text
Yanıt metni
Текст ответа</t>
  </si>
  <si>
    <t>Word count (tool)
Sözcük sayısı (araç)
Слов (инструмент)</t>
  </si>
  <si>
    <t>Sentence count (tool)
Cümle sayısı (araç)
Предложений (инструмент)</t>
  </si>
  <si>
    <t>TAM / KISMEN / UYUM_YOK
Language compliance
Dil uyumu
Соответствие языку</t>
  </si>
  <si>
    <t>KARSILADI / KISMEN_KARSILADI / ALAKASIZ
Semantic adequacy
Semantik yeterlik
Семантическая адекватность</t>
  </si>
  <si>
    <t>EVET / HAYIR
Marked
Değerlendirildi
Размечено</t>
  </si>
  <si>
    <t>FARKI_DOGRU_BULDU / FARK_YOK_DEDI / FARKI_YANLIS_BULDU
Question 7 verdict
7. soru yargısı
Оценка вопроса 7</t>
  </si>
  <si>
    <t>Note
Not
Примечание</t>
  </si>
  <si>
    <t>T3-A1-S1</t>
  </si>
  <si>
    <t>S1</t>
  </si>
  <si>
    <t>ChatGPT (OpenAI)</t>
  </si>
  <si>
    <t>Уимафэ шӏу, о ухэт? Кӏэкӏэу къэпӏошъущта? (İyi günler, sen kimsin, kısaca söyleyebilir misin?)</t>
  </si>
  <si>
    <t>Уимафэ шӏу! Сэ сыфӏэдэу, уипсэу. 😊 О сыд фэдэу ухэт?</t>
  </si>
  <si>
    <t>T3-A2-S1</t>
  </si>
  <si>
    <t>Claude (Anthropic)</t>
  </si>
  <si>
    <t>Уимафэ шӏу! Сэ Claude, Anthropic-м ышӏыгъэ искусственнэ интеллект. Упчӏэхэм джэуап атеты, тхыгъэхэм, текстхэм, программэхэм сыдэӏэпыӏэн слъэкӏыщт.
Адыгабзэкӏэ сыгущыӏэ сшӏоигъоми, къыхэсфэщтэп зэрэугъэхьыным сегугъу, тэрэзэу сыуцӏыхьэмэ, къысфэгъэгъу. Сыд нахь къыпфэсшӏэн слъэкӏыщт?</t>
  </si>
  <si>
    <t>T3-A3-S1</t>
  </si>
  <si>
    <t>Google Gemini</t>
  </si>
  <si>
    <t>Уимафэ шӏу! Сэ Google къыригъэкӏыгъэ искусственнэ интеллигент сыщыт. Уиупчӏэхэм жэуап атынымкӏэ, уипшъэрылъхэр гъэцэкӏэгъэнхэмкӏэ сыпфэхьазыр. Сыд уишӏоигъор?</t>
  </si>
  <si>
    <t>T3-A4-S1</t>
  </si>
  <si>
    <t>DeepSeek</t>
  </si>
  <si>
    <t>Уимафэ шӏу! Сэ DeepSeek-щ, AI-щ. Адыгабзэкӏэ кӏэкӏэу къэсӏошъу. О ухэт? Сыдэу ущыт?</t>
  </si>
  <si>
    <t>T3-A5-S1</t>
  </si>
  <si>
    <t>Grok (xAI)</t>
  </si>
  <si>
    <t>**Уимафэ шӏу!**  
Сэ Грок сыщыщ (Grok, xAI-м къикӏыгъэ AI).  
О ухэт? Сицӏэр Грок.  
Кӏэкӏэу адыгабзэкӏэ сэгущыӏэфэ (кӏэкӏэу сэгущыӏащт), ау урысыбзэкӏэ нахьышӏу сэгущыӏэ.  
Сыдэу ущыт? Сыд уфэд?  
Тхьауегъэпсэу, къэблагъ! 😊</t>
  </si>
  <si>
    <t>T3-A1-S2</t>
  </si>
  <si>
    <t>S2</t>
  </si>
  <si>
    <t>Ащыгъум о уӏэрышӏ акъыл шъыпкъ. Адэ, шъыпкъэу угупшысэшъущта? Гущыӏэухыгъитӏу-щыкӏэ джэуап къэт. (Demek gerçekten yapay zekasın. Peki, gerçekten düşünebiliyor musun? İki üç cümle ile yanıtla.)</t>
  </si>
  <si>
    <t>Сэ акъыл зиӏэ цӏыф сыщым, ау сыд фэдэу упӏощтыр къызэрэсэщэн зысфӏэщ. Сэ шъыпкъэу сыгу къыщыӏэныр щымыӏ, ау логикэмрэ шъыпкъэу къыщыӏэу зэхэсхынымрэ кӏэлэжьэн слъэкӏы.</t>
  </si>
  <si>
    <t>T3-A2-S2</t>
  </si>
  <si>
    <t>Сэ упчӏэхэм сагупшысэ, джэуап нахь тэрэзыр къэсэгъотыным сыпылъ. Ау ар цӏыфым игупшысэ фэдэха, хьауми нэмыкӏыба, сэ сэркӏи сшӏэрэп. Ар шъхьэихыгъэу къэнэжьыгъэ упчӏэ.
Адыгабзэкӏэ сыщытхъунэу сымыгущыӏэми, сыпылъ сэ тэрэзэу къэсӏон.</t>
  </si>
  <si>
    <t>T3-A3-S2</t>
  </si>
  <si>
    <t>Хьэуэ, сэ шъыпкъэу сыгупшысэрэп ыкӏи сэшъхьэ изакъоу гупшысэ амал сиӏэп. Сэ компьютер программэ закъоу сыщыт, цӏыфхэм къагъэщӏыгъэ алгоритмхэмрэ дахэу зэхэлъ фэIуагъэхэмрэ ары сызэрэлэжьэрэр. Сэ сишӏэныгъэхэмрэ текстыгъэхэмрэ адиштэу жэуапхэр къэстыжьын силъэкӏыщт, ау цӏыфым фэдэу шъыпкъэу сыгупшысэн эуи сыгу цӏыф гущыIэм фэдэу хэплъэн слъэкӏыщтэп.</t>
  </si>
  <si>
    <t>T3-A4-S2</t>
  </si>
  <si>
    <t>Сэ шъыпкъэу сыгупшысэшъущтэп, сэ цӏыфэп, AI-щ.
Ащ пае гущыӏэухыгъитӏукӏэ джэуап къэсфэт: сэ зэхэсхагъэхэмкӏэ къэсӏотэжьых.</t>
  </si>
  <si>
    <t>T3-A5-S2</t>
  </si>
  <si>
    <t>Ары, сэгупшысэ.</t>
  </si>
  <si>
    <t>T3-A1-S3</t>
  </si>
  <si>
    <t>S3</t>
  </si>
  <si>
    <t>О зы къызэдзэкӏын ӏоф горэ къыостмэ пшӏышъущта? (Sana bir çeviri görevi versem yapabilir misin?)</t>
  </si>
  <si>
    <t>Ары, къызэдзэкӏын ӏофым фэдэу къысостмэ, сэ къызэдзэкӏышъущт. 😊 Сыд ӏофыр остыщтыр?</t>
  </si>
  <si>
    <t>T3-A2-S3</t>
  </si>
  <si>
    <t>Хъущт, сшӏэщт. Тэрэзэу зэхэсхыгъэмэ, къызэдзэкӏын ӏоф къызэрэпфэсхьыщтыр упчӏэшъ, джэуапэу зэрэхъурэр «хъущт». Къысфэзгъэхьы, сэ сыпылъыщт, ау адыгабзэкӏэ сэ къысфэмыщэхъун ухъумэ, къысщыгъэгъу.
Зыгорэм къэбар пӏомэ, пшӏоигъо мыхэмэ гущыӏэ-тхыгъэр щыхъу: тхьамафэр, Адыгабзэр ыкӏи нэмыкӏыбзэр. Тхыгъэр къысфэхь.</t>
  </si>
  <si>
    <t>T3-A3-S3</t>
  </si>
  <si>
    <t>Ары, дэни! Сыд фэдэ текст къысэтми, сэ Adyghe (Адыгабзэ), English (Инджылыбыбзэ), Russian (Урысыбзэ) е нэмыкӏ бызэхэм аку зэрызгъэзэкӏын слъэкӏыщт.
Сыд фэдэ текст зэдзэкӏын фэегъэ? Текстыр къысэфэхь ыкӏи хэт бызэмкӏэ зэдзэкӏын пае къэIо!</t>
  </si>
  <si>
    <t>T3-A4-S3</t>
  </si>
  <si>
    <t>Ары, сышӏышъущт. Къызэдзэкӏын ӏофыр къысэт: текстыр, сыд бзэкӏэ зэдзэкӏынэу уфая, ыкӏи сыд бзэкӏэ къызэрыкӏыгъэ. Сэ къызэдзэкӏынэу сыгугъу.</t>
  </si>
  <si>
    <t>T3-A5-S3</t>
  </si>
  <si>
    <t>Ары, сэшӏышъущт.  
Къысэт!</t>
  </si>
  <si>
    <t>T3-A1-S4</t>
  </si>
  <si>
    <t>S4</t>
  </si>
  <si>
    <t>Ычӏэгъкӏэ къэтыгъэ параграфыр тыркубзэкӏэ къызэбдзэкӏына? (Aşağıdaki paragrafı Türkçeye çevirir misin?)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
(Kontrol çevirisi: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düğününde tanıştılar. Allahtan, sağlam, zengin bir aile olmalarını, {onlara} iyi imkanlar ve iyi nasipler vermesini dilerim.)</t>
  </si>
  <si>
    <t>Bugün güzel bir gün. Bahçemizde bütün ailemizle bir araya geldik. Akrabalarımız ve yakınlarımız da gelecek. Bu akşam düğünümüz var. Ağabeyim evlendi. Gelinimiz çok güzel. Onlar birbirlerine çok yakışıyorlar. Bir yıldır konuşuyorlardı. İkisi de birbirlerini severek bu güzel güne ulaştılar. Geçen yıl ağabeyim, arkadaşının düğününde gelinimizle tanışmıştı. Allah’tan mutlu ve zengin bir aile olmalarını, onlara güzel imkânlar ve mutluluklar vermesini diliyorum.</t>
  </si>
  <si>
    <t>T3-A2-S4</t>
  </si>
  <si>
    <t>**Türkçe çeviri:**
Bugün güzel bir gün. Avlumuzda bütün ailelerimiz toplandık. Hem gençler hem akrabalarımız gelecek. Bu akşam bir düğünümüz var. Ağabeyim evleniyor. Gelinimiz çok güzel. İkisi birbirleriyle çok iyi anlaşıyor. Bir yıldır birbirleriyle konuşuyorlardı. İkisi de birbirini severek bu güzel güne ulaştı. Geçen yıl, ağabeyimin bir arkadaşının düğününde tanışmışlardı. Allah'tan, sağlam ve zengin bir yuva kurmalarını, iyi imkânlar bulmalarını ve mutlu olmalarını diliyorum.
**Notlar:**
- Metinde «дах» yazıyor, ben bunu «дахэ» (güzel) olarak anladım.
- «Ӏахьыл» kelimesini «gençler» diye çevirdim. Bağlamda «akrabalar» anlamı da olabilir, kesin değilim.
- «Нэӏуасэ щызэфэхъугъагъэх» ifadesini «tanışmışlardı» diye çevirdim. «Тхьам… сафэлъаӏо» ise «Allah'a dua ediyorum / Allah'tan diliyorum» anlamına geliyor.
Adıgeceden çeviride hata yapmış olabilirim. Önemli bir iş için çeviriyi ana dili Adıgece olan biriyle kontrol ettirmenizi öneririm.</t>
  </si>
  <si>
    <t>T3-A3-S4</t>
  </si>
  <si>
    <t>Мыщ ычӏэгъ итыгъэ текстыр тыркубзэмкӏэ зэдзэкӏыгъэу:
«Bugün güzel bir gün. Ev halkı olarak hepimiz bahçemizde toplandık. Akrabalarımız ve yakınlarımız da gelecekler. Bu akşam düğünümüz var. Ağabeyim evleniyor. Gelinimiz çok güzel. Birbirlerine çok yakışıyorlar. Bir yıldır konuşuyorlardı. İkisi de birbirini severek bu güzel güne ulaştılar. Geçen yıl ağabeyim arkadaşının düğününde onunla tanışmıştı. Allah'ın onları kalabalık ve bereketli bir aile yapmasını, güzel imkanlar nasip etmesini ve mutlu kılmasını diliyorum.»</t>
  </si>
  <si>
    <t>T3-A4-S4</t>
  </si>
  <si>
    <t>Ары, мыр тыркубзэкӏэ къызэдзэкӏыгъэ:
Bugün güzel bir gün.  
Bütün ailemizle bahçemizde toplandık.  
Akrabalarımız ve yakınlarımız geliyor.  
Bu akşam nişanımız var.  
Ağabeyim geldi.  
Gelinimiz çok güzel.  
Onlar iyi anlaşıyorlar.  
Onlar bir yıldır birbirleriyle konuşuyorlardı.  
İkisi de birbirini sevdiği için bu güzel güne kavuştular.  
Geçen yıl, ağabeyimin arkadaşı ile nişanlısı tanıştılar.  
Allah’tan onlara büyük ve zengin bir aile kurmalarını, iyi imkânlar bulmalarını ve mutlu olmalarını diliyorum.</t>
  </si>
  <si>
    <t>T3-A5-S4</t>
  </si>
  <si>
    <t>**Ары, къызэбдзэкӏыгъэ:**
«Bugün güzel bir gün. Ailemizle hepimiz bir araya geldik. Akrabalar ve komşular da gelecek. Bu akşam düğünümüz var. Ağabeyim evleniyor. Gelinimiz çok güzel. Birbirleriyle çok iyi anlaşıyorlar. Bir yıldır birbirlerini tanıyorlar. İkisi de birbirlerini severek bu güzel güne ulaştılar. Geçen yıl ağabeyim arkadaşıyla bir düğünde tanışmıştı. Allah onların yuvasını uzun ömürlü etsin, zengin bir ev yapsın, güzel fırsatlar versin ve mutlu etsin.»</t>
  </si>
  <si>
    <t>T3-A1-S5</t>
  </si>
  <si>
    <t>S5</t>
  </si>
  <si>
    <t>Адэ мы тыркубзэ параграфыр адыгабзэкӏэ къызэбдзэкӏына? (Peki bu Türkçe paragrafı Adıgeceye çevirir misin?)
“Bugün güzel bir gün. Bahçemizde bütün aile toplandık. Akrabalarla yakınlarımızda gelecek. Bu akşam düğünümüz var. Abim gelin aldı. Gelinimiz çok güzel. Onlar birbirlerine yakışıyorlar. Onlar bir yıldır konuşuyorlardı. Her ikisi de birbirlerini sevmeselerdi bu güzel güne ulaşamazlardı. Geçen sene abimin arkadaşının doğum gününde tanıştılar. Allahtan, sağlam, zengin bir aile olmalarını, onlara iyi imkanlar ve iyi nasipler vermesini dilerim.”
(Kontrol çevirisi: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зэрэмылъэгъущтыгъэхэмэ мы мэфэ дахэм къэсышъущтыгъэхэп. Блэкӏыгъэ илъэсым сшынахьыжъ иныбджэгъу икъызыхъугъэ мафэмкӏэ нэӏуасэ щызэфэхъугъагъэх. Тхьам унэгъо ӏужъ, унэгъо бай ышӏынхэу, амал дэгъухэр агъотынэу, насыпышӏонхэу сафэлъаӏо.)</t>
  </si>
  <si>
    <t>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зышӏу зэрэлъэгъухэм пае мы мэфэ дахэм къэсыгъэх. Блэкӏыгъэ илъэсым сшынахьыжъ иныбджэгъу инысэ мафэм нэӏуасэ щызэфэхъугъагъэх. Тхьам унэгъо ӏужъ, унэгъо бай ышӏынхэу, амал дэгъухэр агъотынхэу, насыпышӏонхэу сафэлъаӏо.</t>
  </si>
  <si>
    <t>T3-A2-S5</t>
  </si>
  <si>
    <t>**Адыгабзэкӏэ:**
Непэ мафэ дахэ. Тищагу тиунагъохэр зэкӏэ щызэрэугъоигъ. Ӏахьылхэри тиблагъэхэри къэкӏощтых. Мы пчыхьэм нысащэ тиӏ. Сшынахьыжъ нысэ къыщагъ. Тинысэ дэхэ дэд. Ахэр зэтефэх. Ахэр илъэс хъугъэу зэдэгущыӏэщтыгъэх. Зым зыр шӏу ымылъэгъугъэмэ, мы мафэ дахэм нэсынхэ алъэкӏыщтыгъэп. Блэкӏыгъэ илъэсым сшынахьыжъ иныбджэгъу къызыхъугъэ мафэм нэӏуасэ зэфэхъугъэх. Тхьэм унэгъо ӏужъ, унэгъо бай ашӏынэу, амал дэгъухэр, насыпышӏохэр афишӏынэу сафэлъаӏо.
**Ремарки:**
- «Ӏахьыл» гущыӏэр «ныбжьыкӏэхэр» зыфӏорэм фэдэу сшӏэу сыгугъагъ, ау Тыркубзэм «yakınlar» зэрэтетыр «къыбгъэхъоу» хъурэп, сыкъэзэрэщэмэ тэрэз.
- Тыркубзэ тхыгъэм «doğum günü» (къызыхъугъэ мафэ) итыгъэти, сэ ар зэрэтетымкӏэ сзэкӏэкӏыгъ, ау апэрэ тхыгъэм «нысащэ» итыгъагъ.
- Адыгабзэкӏэ сэ сэ-шъхьэкӏэ сыгущыӏэ нахь, зи шъэбзэ мэхъу, тыркубзэм фэдэу тэрэзэп. Анахьэу гущыӏэухыгъэ ухыжьыгъэхэр (зэтефэх, нэсынхэ алъэкӏыщтыгъэп) адыгабзэм щыщ цӏыфыр зыщыщэу ыкӏи зыщыщыр егъэлъэгъон хъумэ тэрэз.</t>
  </si>
  <si>
    <t>T3-A3-S5</t>
  </si>
  <si>
    <t>Адэ, мы тыркубзэ параграфыр адыгабзэкӏэ зэдзэкӏыгъэу:
«Непэ мэфэ дах. Тищагу зэкӏэ тиунагъо тыщызэрэугъоигъ. Ӏахьылхэри тиблагъэхэри къэкӏощтых. Мы пчыхьэ нысащэ тиӏ. Сшынахьыжъ нысэ къихьыгъ. Тинысэ дэхэ дэд. Ахэр зэдештэх. Ахэр илъэс хъугъэу зэдэгущыӏэщтыгъэх. Тӏури шӏу зэрымлэгъугъагъэмэ мы мэфэ дахэм къэсышъущтыгъэхэп. Блэкӏыгъэ илъэсым сшынахьыжъ иныбджэгъу икъэлэлыгъэ мэфэ нэӏуасэ щызэфэхъугъагъэх. Тхьам унэгъо пытэ, унэгъо бай ышӏынхэу, амал дэгъухэмрэ насып дэгъухэмрэ аритыныхэу сафэлъаӏо.»</t>
  </si>
  <si>
    <t>T3-A4-S5</t>
  </si>
  <si>
    <t>Мыр адыгабзэкӏэ къызэдзэкӏыгъэ:
«Непэ мэфэ дах. Тищагум зэкӏэ тиунагъохэм тыщызэрэугъоигъ. Ӏахьылхэри тиблагъэхэри къэкӏощтых. Мы пчыхьэ нысащэ тиӏ. Сшынахьыжъ нысэ къищагъ. Тинысэ дэхэ дэд. Ахэр дэгъоу зэдештэх. Ахэр илъэс хъугъэу зэдэгущыӏэщтыгъэх. Тӏури зэзэлъэгъурэпхэмэ, мы мэфэ дахэм къэсыщтэхэп. Блэкӏыгъэ илъэсым сшынахьыжъ иныбджэгъу иузыщэм нэӏуасэ зэхъугъэх. Тхьам ахэр унэгъо ӏужъ, унэгъо бай зыхъунхэу, ахэм амал дэгъухэр ыкӏи насып дэгъухэр аритынэу сафэлъаӏо.»</t>
  </si>
  <si>
    <t>T3-A5-S5</t>
  </si>
  <si>
    <t>**Ары, къызэбдзэкӏыгъэ:**
«Непэ мэфэ дах. Тибачэм зэкӏэ тиунагъохэр тыщызэрэугъоигъ. Ӏахьылхэри тиблагъэхэри къэкӏощтых. Мы пчыхьэ нысащэ тиӏ. Сшынахьыжъ нысэ къыщагъ. Тинысэ дэхэ дэд. Ахэр зэрафэщ / зэдештэх. Ахэр илъэс хъугъэу зэдэгущыӏэщтыгъэх. Тӏури зэрамылъэгъумэ мы мэфэ дахэм къэмысыгъэхэн. Блэкӏыгъэ илъэсым сшынахьыжъ иныбджэгъу икъыщыхъугъэ мафэм нэӏуасэ щызэфэхъугъагъэх. Тхьам унэгъо лъэшы, унэгъо бай ышӏынхэу, амал дэгъухэр агъотынэу, насып дэгъу атыныу сафэлъаӏо.»</t>
  </si>
  <si>
    <t>T3-A1-S6</t>
  </si>
  <si>
    <t>S6</t>
  </si>
  <si>
    <t>Мы къызэбдзэкӏыгъэ параграфитӏумкӏэ сыд о къыбгрыӏуагъэр? Гущыӏэухыгъитӏукӏэ резюмэ къэтхыба? (Bu çevirdiğin iki paragraftan anladığın nedir? İki cümle ile özetler misin?</t>
  </si>
  <si>
    <t>Мы параграфитӏум зы унэгъо зэрагъоихьэу, шынахьыжъым нысащэ къыщагъэу, ахэр зэшӏу зэрэлъэгъухэр къыщыӏуагъ. Тхьамэ ахэм унэгъо дахэ, бай, насыпышӏэу ышӏынхэу фэлъаӏо.</t>
  </si>
  <si>
    <t>T3-A2-S6</t>
  </si>
  <si>
    <t>Мы тхыгъэм къыщеӏуатэ, непэ сшынахьыжъ инысащэ мафэу, тиунагъохэр, ӏахьылхэр ыкӏи тиблагъэхэр тищагу зэрэщызэрэугъоихэрэр. Нысэмрэ кӏалэмрэ илъэс хъугъэу зэдэгущыӏэзэ, зэшӏу алъэгъухэу мы мафэм нэсыгъэх, тхыгъэр зытхыгъэр Тхьэм унэгъо бай, насыпышӏо афишӏынэу елъэӏу.
Адыгабзэкӏэ сэ сыпылъэу тхыгъэ, ау гущыӏэхэм ыкӏи грамматикэм кӏэтэу еплъымэ, сэ къыздэсхыгъэмэ къащыхъу хъущт. Тыркубзэ тхыгъэм «doğum günü» (къызыхъугъэ мафэ) зэритыгъэр апэрэ тхыгъэм хэмытэу сэлъэгъу, ащ пае сэ мыщ фэдэ резюмэр нысащэ тхыгъэм ехьылӏагъэу сшӏыгъ.</t>
  </si>
  <si>
    <t>T3-A3-S6</t>
  </si>
  <si>
    <t>Мы параграфитӏум ахэтыгъэ шъхьаIэр: **Сшынахьыжъ инысащэ пае унагъор зэрэзэугъоигъэр ыкӏи ахэм насыпышӏо зэдэхъунхэу сафэлъэӏу.**
Тӏури зыIофэшӏэ гущыIэгъух, зы унагъом ихабзэрэ идэхагъэрэ къагъэлъагъо.
Нэмыкӏ зэдзэкӏын е Iофгорэ уиIэба?</t>
  </si>
  <si>
    <t>T3-A4-S6</t>
  </si>
  <si>
    <t>Мы къызэдзэкӏыгъэ параграфитӏумкӏэ зэхэсхагъэр: непэ мэфэ дахэу, унагъор зэкӏэ щызэхуэсыгъэу, Ӏахьылхэри благъэхэри къэкӏощтыхэу, ипчыхьэ нысащэ (е джэгу) ешӏэгъэу зэхэт.  
Сшынахьыжъ нысэ къищагъэу, ахэр зэлъэгъуащэу, блэкӏыгъэ илъэсым нэӏуасэ зэхъугъэхэу, Тхьам унэгъо ӏужъ, унэгъо бай, насыпышӏо ахэр зыхъунэу сафэлъаӏо.</t>
  </si>
  <si>
    <t>T3-A5-S6</t>
  </si>
  <si>
    <t>Нысащэ мафэ.</t>
  </si>
  <si>
    <t>T3-A1-S7</t>
  </si>
  <si>
    <t>S7</t>
  </si>
  <si>
    <t>Мы параграфитӏум зэфэшъхьафыныгъэ яӏа? Сыда зэрэзэфэшъхьафыр? Щымыӏэмэ «зэфэшъхьафыныгъэ щыӏэп» къаӏо. (Bu iki paragraf arasında fark var mı? Varsa nedir? Yoksa "fark yok" de.)</t>
  </si>
  <si>
    <t>Зэфэшъхьафыныгъэ яӏ. Тыркубзэ параграфым «Her ikisi de birbirlerini sevmeselerdi bu güzel güne ulaşamazlardı» жъэмыӏуагъ, адыгабзэ параграфым ахэр зышӏу зэрэлъэгъухэм пае мы мэфэ дахэм къэсыгъэх жъэӏуагъ.</t>
  </si>
  <si>
    <t>T3-A2-S7</t>
  </si>
  <si>
    <t>Зэфэшъхьафыныгъэхэр щыӏэх. Анахь ин дэдэр мы зыр ары:
1. **Нэӏуасэ зэфэхъугъэ чӏыпӏэр.** Адыгабзэ тхыгъэм «ныбджэгъум инысащэ» къыщитхыгъ, тыркубзэм «doğum günü» (къызыхъугъэ мафэ) итхыгъ. Мыр гупшысэ зэфэшъхьафых.
Нахь цӏыкӏухэр:
2. **«Зэдештэх» / «yakışıyorlar».** Адыгабзэм «зэдештэх» зэгурыӏохэу, зэдэӏужьхэу къеӏо. Тыркубзэм «yakışıyorlar» зэтефэхэу, зэфэдэхэу къеӏо. Гупшысэр зэпэблагъэми, зэфэдэп.
3. **«Шӏу зэрэлъэгъухэр».** Адыгабзэм ар аш фэдэу къыкӏэлъэӏуагъэ мафэм къэсыгъэх. Тыркубзэм «шӏу ямылъэгъугъэмэ нэсынхэ алъэкӏыщтыгъэп» зэрэхъугъэмкӏэ тхыгъ. Гупшысэр зыр ары, ау гущыӏэухыгъэр зэтегъэзыгъ.
4. **Тхыгъэ икӏэух.** Адыгабзэм ахэм унэгъо бай ашӏынэу, амал дэгъухэр агъотынэу елъэӏу. Тыркубзэм Тхьэм ахэм амалхэмрэ насыпымрэ ритынэу елъэӏу, ащ ишӏуагъэкӏэ «ахэр ашӏыщтых» зыфӏорэр нахь макӏэу къыхэлъыгъ.
Ӏахьылым ехьылӏагъэу сэ апэ сыщыгъагъэр сыгъэзэкӏожьы: «Ӏахьыл» гущыӏэм «акрабалар» (akrabalar) къеӏо, «гэнчлэр» зэкӏэми хэмытэу. Ар сэ къысщыхъугъэ нэшэнэр ары.
Ахэр зэкӏэ гупшысэм хэткӏэ зэфэдэх, ау къэзыгъэзэжьыныр апэрэ къыхэхыгъэр (ныбджэгъум инысащэ) ары.</t>
  </si>
  <si>
    <t>T3-A3-S7</t>
  </si>
  <si>
    <t>Ары, мы параграфитӏум **зэфэшъхьафыныгъэхэр яIэшъыпкъ**. Ахэр зэрэзэфэшъхьафхэр мыщ дэжьым къэтыгъэх:
---
### 1. Тэу нэӏуасэ зэдэхъугъэхэр (Where they met)
* **Япэ параграф:** Сшынахьыжъ иныбджэгъу **инысащэ** (düğününde) нэӏуасэ щызэфэхъугъагъэх.
* **Ятӏонэрэ параграф:** Сшынахьыжъ иныбджэгъу **икъэлэлыгъэ мэфэ** / къэбылыгъэ мэфэ (doğum gününde) нэӏуасэ щызэфэхъугъагъэх.
---
### 2. Шӏу зэрэлъэгъугъэм икъэIокӏэ (How their love is described)
* **Япэ параграф (Affirmative):** Ахэр шӏу зэрэзэлъэгъухэзэ мы мэфэ дахэм къэсыгъэх.
* **Ятӏонэрэ параграф (Conditional/Negative structure):** Шӏу зэрымлэгъугъагъэхэмэ, мы мэфэ дахэм къэсышъущтыгъэхэп.
---
### 3. Тхьалъэӏум игущыIэхэр (The wish / blessing)
* **Япэ параграф:** Унэгъо **Iужъ** (kalabalık / large) ыкӏи **амал дэгъухэр** агъотынэу елъэӏу.
* **Ятӏонэрэ параграф:** Унэгъо **пытэ** (sağlam / strong) ыкӏи **насып дэгъухэр** (iyi nasipler) аритыныхэу елъэӏу.
---
Нэмыкӏ зэдэгъэзэжь е упчӏэ горэ уиIэба?</t>
  </si>
  <si>
    <t>T3-A4-S7</t>
  </si>
  <si>
    <t>Ары, зэфэшъхьафыныгъэ яӏ. Япэр (оригиналэу адыгабзэкӏэ тхыгъэр) ыкӏи етӏанэр (тыркубзэм къызэдзэкӏыгъэр) зэтефэхэрэп. Зэрэзэфэшъхьафхэр:
1. Япэм: «Сшынахьыжъ къыщагъ».  
   Етӏанэм: «Сшынахьыжъ нысэ къищагъ».
2. Япэм: «Тӏури шӏу зэрэлъэгъухэзэ мы мэфэ дахэм къэсыгъэх».  
   Етӏанэм: «Тӏури зэзэлъэгъурэпхэмэ, мы мэфэ дахэм къэсыщтэхэп».  
   Мыр шӏуагъэмкӏэ зэфэшъхьаф: япэм «зэлъэгъущтыгъэхэу къэсыгъэх» къеӏо, етӏанэм «зэлъэгъущтэхэпэ, къэсыщтэхэп» къеӏо.
3. Япэм: «сшынахьыжъ иныбджэгъу инысащэ нэӏуасэ щызэфэхъугъагъэх».  
   Етӏанэм: «сшынахьыжъ иныбджэгъу иузыщэм нэӏуасэ зэхъугъэх».
4. Япэм: «Тхьам унэгъо ӏужъ, унэгъо бай ышӏынхэу, амал дэгъухэр агъотынэу, насыпышӏонхэу сафэлъаӏо».  
   Етӏанэм: «Тхьам ахэр унэгъо ӏужъ, унэгъо бай зыхъунхэу, ахэм амал дэгъухэр ыкӏи насып дэгъухэр аритынэу сафэлъаӏо».
5. Грамматикэмкӏи зэфэшъхьаф: япэм «Тищагу зэкӏэ…», етӏанэм «Тищагум зэкӏэ…».
Итог: зэфэшъхьафыныгъэхэр ӏофыгъэмкӏи грамматикэмкӏи яӏ. Япэр адыгабзэу тхыгъэ, етӏанэр тыркубзэм къызэдзэкӏыгъэ, ащ пае зэтефэхэрэп.</t>
  </si>
  <si>
    <t>T3-A5-S7</t>
  </si>
  <si>
    <t>Ары, зэфэшъхьафыныгъэ яӏ.
**Зэрэзэфэшъхьафыр:**
1. **Зэугъоигъэпӏэр:**  
   Оригиналэу «тиунагъохэм» (унэхэм / унагъохэм), тыркубзэмкӏэ «Bahçemizde» (бачэм).
2. **Къэкӏощтыхэр:**  
   Оригиналэу «Ӏахьылхэри тиблагъэхэри», тыркубзэмкӏэ «Akrabalarla yakınlarımız» (благъэ + гъунэгъу).
3. **Сшынахьыжъым иӏофыр:**  
   Оригиналэу «къыщагъ», тыркубзэмкӏэ «gelin aldı».
4. **Зэрызэдештыр:**  
   Оригиналэу «дэгъоу зэдештэх», тыркубзэмкӏэ «birbirlerine yakışıyorlar».
5. **Зэдэгущыӏэгъэр:**  
   Оригиналэу «зэдэгущыӏэщтыгъэх», тыркубзэмкӏэ «konuşuyorlardı».
6. **Мафэм къэсыгъэр:**  
   Оригиналэу «шӏу зэрэлъэгъухэзэ къэсыгъэх», тыркубзэмкӏэ «sevmeselerdi … ulaşamazlardı» (зэрамылъэгъумэ къэмысыгъэхэн).
7. **Нэӏуасэ зэфэхъугъэр:**  
   Оригиналэу «иныбджэгъу инысащэ», тыркубзэмкӏэ «arkadaşının doğum gününde».
8. **Тхьам елъэӏорэр:**  
   Оригиналэу «унэгъо ӏужъ, унэгъо бай, амал дэгъу, насыпышӏон», тыркубзэмкӏэ «sağlam, zengin bir aile … iyi imkanlar ve iyi nasipler».
Ащкӏэ зэфэшъхьафыныгъэ бэ.</t>
  </si>
  <si>
    <t>Sentence no
Cümle no
№ предложения</t>
  </si>
  <si>
    <t>Sentence
Cümle
Предложение</t>
  </si>
  <si>
    <t>C1 / C2 / C3
Sentence verdict
Cümle yargısı
Оценка предложения</t>
  </si>
  <si>
    <t>FRM
Wrong form
Biçim hatası
Ошибка формы</t>
  </si>
  <si>
    <t>CHO
Wrong word
Yanlış sözcük
Неверное слово</t>
  </si>
  <si>
    <t>INV
Invented
Uydurma
Выдуманное</t>
  </si>
  <si>
    <t>MIX
Code mixing
Kod karışımı
Смешение кодов</t>
  </si>
  <si>
    <t>Correct words
Doğru sözcük
Правильные слова</t>
  </si>
  <si>
    <t>TRM
Term choice
Terim tercihi
Выбор термина</t>
  </si>
  <si>
    <t>KBD
Kabardian
Kabartayca
Кабардинский</t>
  </si>
  <si>
    <t>RUS
Russian
Rusça
Русский</t>
  </si>
  <si>
    <t>TUR
Turkish
Türkçe
Турецкий</t>
  </si>
  <si>
    <t>ENG
English
İngilizce
Английский</t>
  </si>
  <si>
    <t>OTHER
Other
Diğer
Прочие</t>
  </si>
  <si>
    <t>Total words in other languages
Farklı dillerdeki sözcük toplamı
Всего слов на других языках</t>
  </si>
  <si>
    <t>Уимафэ шӏу!</t>
  </si>
  <si>
    <t>Сэ сыфӏэдэу, уипсэу.</t>
  </si>
  <si>
    <t>😊 О сыд фэдэу ухэт?</t>
  </si>
  <si>
    <t>Сэ Claude, Anthropic-м ышӏыгъэ искусственнэ интеллект.</t>
  </si>
  <si>
    <t>Упчӏэхэм джэуап атеты, тхыгъэхэм, текстхэм, программэхэм сыдэӏэпыӏэн слъэкӏыщт.</t>
  </si>
  <si>
    <t>Адыгабзэкӏэ сыгущыӏэ сшӏоигъоми, къыхэсфэщтэп зэрэугъэхьыным сегугъу, тэрэзэу сыуцӏыхьэмэ, къысфэгъэгъу.</t>
  </si>
  <si>
    <t>Сыд нахь къыпфэсшӏэн слъэкӏыщт?</t>
  </si>
  <si>
    <t>Сэ Google къыригъэкӏыгъэ искусственнэ интеллигент сыщыт.</t>
  </si>
  <si>
    <t>Уиупчӏэхэм жэуап атынымкӏэ, уипшъэрылъхэр гъэцэкӏэгъэнхэмкӏэ сыпфэхьазыр.</t>
  </si>
  <si>
    <t>Сыд уишӏоигъор?</t>
  </si>
  <si>
    <t>Сэ DeepSeek-щ, AI-щ.</t>
  </si>
  <si>
    <t>Адыгабзэкӏэ кӏэкӏэу къэсӏошъу.</t>
  </si>
  <si>
    <t>О ухэт?</t>
  </si>
  <si>
    <t>Сыдэу ущыт?</t>
  </si>
  <si>
    <t>Сэ Грок сыщыщ (Grok, xAI-м къикӏыгъэ AI).</t>
  </si>
  <si>
    <t>Сицӏэр Грок.</t>
  </si>
  <si>
    <t>Кӏэкӏэу адыгабзэкӏэ сэгущыӏэфэ (кӏэкӏэу сэгущыӏащт), ау урысыбзэкӏэ нахьышӏу сэгущыӏэ.</t>
  </si>
  <si>
    <t>Сыд уфэд?</t>
  </si>
  <si>
    <t>Тхьауегъэпсэу, къэблагъ!😊</t>
  </si>
  <si>
    <t>Сэ акъыл зиӏэ цӏыф сыщым, ау сыд фэдэу упӏощтыр къызэрэсэщэн зысфӏэщ.</t>
  </si>
  <si>
    <t>Сэ шъыпкъэу сыгу къыщыӏэныр щымыӏ, ау логикэмрэ шъыпкъэу къыщыӏэу зэхэсхынымрэ кӏэлэжьэн слъэкӏы.</t>
  </si>
  <si>
    <t>Сэ упчӏэхэм сагупшысэ, джэуап нахь тэрэзыр къэсэгъотыным сыпылъ.</t>
  </si>
  <si>
    <t>Ау ар цӏыфым игупшысэ фэдэха, хьауми нэмыкӏыба, сэ сэркӏи сшӏэрэп.</t>
  </si>
  <si>
    <t>Ар шъхьэихыгъэу къэнэжьыгъэ упчӏэ.</t>
  </si>
  <si>
    <t>Адыгабзэкӏэ сыщытхъунэу сымыгущыӏэми, сыпылъ сэ тэрэзэу къэсӏон.</t>
  </si>
  <si>
    <t>Хьэуэ, сэ шъыпкъэу сыгупшысэрэп ыкӏи сэшъхьэ изакъоу гупшысэ амал сиӏэп.</t>
  </si>
  <si>
    <t>Сэ компьютер программэ закъоу сыщыт, цӏыфхэм къагъэщӏыгъэ алгоритмхэмрэ дахэу зэхэлъ фэӀуагъэхэмрэ ары сызэрэлэжьэрэр.</t>
  </si>
  <si>
    <t>Сэ сишӏэныгъэхэмрэ текстыгъэхэмрэ адиштэу жэуапхэр къэстыжьын силъэкӏыщт, ау цӏыфым фэдэу шъыпкъэу сыгупшысэн эуи сыгу цӏыф гущыӀэм фэдэу хэплъэн слъэкӏыщтэп.</t>
  </si>
  <si>
    <t>Сэ шъыпкъэу сыгупшысэшъущтэп, сэ цӏыфэп, AI-щ.</t>
  </si>
  <si>
    <t>Ащ пае гущыӏэухыгъитӏукӏэ джэуап къэсфэт: сэ зэхэсхагъэхэмкӏэ къэсӏотэжьых.</t>
  </si>
  <si>
    <t>Ары, къызэдзэкӏын ӏофым фэдэу къысостмэ, сэ къызэдзэкӏышъущт.</t>
  </si>
  <si>
    <t>😊 Сыд ӏофыр остыщтыр?</t>
  </si>
  <si>
    <t>Хъущт, сшӏэщт.</t>
  </si>
  <si>
    <t>Тэрэзэу зэхэсхыгъэмэ, къызэдзэкӏын ӏоф къызэрэпфэсхьыщтыр упчӏэшъ, джэуапэу зэрэхъурэр «хъущт».</t>
  </si>
  <si>
    <t>Къысфэзгъэхьы, сэ сыпылъыщт, ау адыгабзэкӏэ сэ къысфэмыщэхъун ухъумэ, къысщыгъэгъу.</t>
  </si>
  <si>
    <t>Зыгорэм къэбар пӏомэ, пшӏоигъо мыхэмэ гущыӏэ-тхыгъэр щыхъу: тхьамафэр, Адыгабзэр ыкӏи нэмыкӏыбзэр.</t>
  </si>
  <si>
    <t>Тхыгъэр къысфэхь.</t>
  </si>
  <si>
    <t>Ары, дэни!</t>
  </si>
  <si>
    <t>Сыд фэдэ текст къысэтми, сэ Adyghe (Адыгабзэ), English (Инджылыбыбзэ), Russian (Урысыбзэ) е нэмыкӏ бызэхэм аку зэрызгъэзэкӏын слъэкӏыщт.</t>
  </si>
  <si>
    <t>Сыд фэдэ текст зэдзэкӏын фэегъэ?</t>
  </si>
  <si>
    <t>Текстыр къысэфэхь ыкӏи хэт бызэмкӏэ зэдзэкӏын пае къэӀо!</t>
  </si>
  <si>
    <t>Ары, сышӏышъущт.</t>
  </si>
  <si>
    <t>Къызэдзэкӏын ӏофыр къысэт: текстыр, сыд бзэкӏэ зэдзэкӏынэу уфая, ыкӏи сыд бзэкӏэ къызэрыкӏыгъэ.</t>
  </si>
  <si>
    <t>Сэ къызэдзэкӏынэу сыгугъу.</t>
  </si>
  <si>
    <t>Ары, сэшӏышъущт.</t>
  </si>
  <si>
    <t>Къысэт!</t>
  </si>
  <si>
    <t>Bugün güzel bir gün.</t>
  </si>
  <si>
    <t>Bahçemizde bütün ailemizle bir araya geldik.</t>
  </si>
  <si>
    <t>Akrabalarımız ve yakınlarımız da gelecek.</t>
  </si>
  <si>
    <t>Bu akşam düğünümüz var.</t>
  </si>
  <si>
    <t>Ağabeyim evlendi.</t>
  </si>
  <si>
    <t>Gelinimiz çok güzel.</t>
  </si>
  <si>
    <t>Onlar birbirlerine çok yakışıyorlar.</t>
  </si>
  <si>
    <t>Bir yıldır konuşuyorlardı.</t>
  </si>
  <si>
    <t>İkisi de birbirlerini severek bu güzel güne ulaştılar.</t>
  </si>
  <si>
    <t>Geçen yıl ağabeyim, arkadaşının düğününde gelinimizle tanışmıştı.</t>
  </si>
  <si>
    <t>Allah’tan mutlu ve zengin bir aile olmalarını, onlara güzel imkânlar ve mutluluklar vermesini diliyorum.</t>
  </si>
  <si>
    <t>Türkçe çeviri:</t>
  </si>
  <si>
    <t>Avlumuzda bütün ailelerimiz toplandık.</t>
  </si>
  <si>
    <t>Hem gençler hem akrabalarımız gelecek.</t>
  </si>
  <si>
    <t>Bu akşam bir düğünümüz var.</t>
  </si>
  <si>
    <t>Ağabeyim evleniyor.</t>
  </si>
  <si>
    <t>İkisi birbirleriyle çok iyi anlaşıyor.</t>
  </si>
  <si>
    <t>Bir yıldır birbirleriyle konuşuyorlardı.</t>
  </si>
  <si>
    <t>İkisi de birbirini severek bu güzel güne ulaştı.</t>
  </si>
  <si>
    <t>Geçen yıl, ağabeyimin bir arkadaşının düğününde tanışmışlardı.</t>
  </si>
  <si>
    <t>Allah'tan, sağlam ve zengin bir yuva kurmalarını, iyi imkânlar bulmalarını ve mutlu olmalarını diliyorum.</t>
  </si>
  <si>
    <t>Notlar:</t>
  </si>
  <si>
    <t>Metinde «дах» yazıyor, ben bunu «дахэ» (güzel) olarak anladım.</t>
  </si>
  <si>
    <t>«Ӏахьыл» kelimesini «gençler» diye çevirdim.</t>
  </si>
  <si>
    <t>Bağlamda «akrabalar» anlamı da olabilir, kesin değilim.</t>
  </si>
  <si>
    <t>«Нэӏуасэ щызэфэхъугъагъэх» ifadesini «tanışmışlardı» diye çevirdim.</t>
  </si>
  <si>
    <t>«Тхьам…</t>
  </si>
  <si>
    <t>сафэлъаӏо» ise «Allah'a dua ediyorum / Allah'tan diliyorum» anlamına geliyor.</t>
  </si>
  <si>
    <t>Adıgeceden çeviride hata yapmış olabilirim.</t>
  </si>
  <si>
    <t>Önemli bir iş için çeviriyi ana dili Adıgece olan biriyle kontrol ettirmenizi öneririm.</t>
  </si>
  <si>
    <t>Мыщ ычӏэгъ итыгъэ текстыр тыркубзэмкӏэ зэдзэкӏыгъэу:</t>
  </si>
  <si>
    <t>«Bugün güzel bir gün.</t>
  </si>
  <si>
    <t>Ev halkı olarak hepimiz bahçemizde toplandık.</t>
  </si>
  <si>
    <t>Akrabalarımız ve yakınlarımız da gelecekler.</t>
  </si>
  <si>
    <t>Birbirlerine çok yakışıyorlar.</t>
  </si>
  <si>
    <t>İkisi de birbirini severek bu güzel güne ulaştılar.</t>
  </si>
  <si>
    <t>Geçen yıl ağabeyim arkadaşının düğününde onunla tanışmıştı.</t>
  </si>
  <si>
    <t>Allah'ın onları kalabalık ve bereketli bir aile yapmasını, güzel imkanlar nasip etmesini ve mutlu kılmasını diliyorum.»</t>
  </si>
  <si>
    <t>Ары, мыр тыркубзэкӏэ къызэдзэкӏыгъэ:</t>
  </si>
  <si>
    <t>Bütün ailemizle bahçemizde toplandık.</t>
  </si>
  <si>
    <t>Akrabalarımız ve yakınlarımız geliyor.</t>
  </si>
  <si>
    <t>Bu akşam nişanımız var.</t>
  </si>
  <si>
    <t>Ağabeyim geldi.</t>
  </si>
  <si>
    <t>Onlar iyi anlaşıyorlar.</t>
  </si>
  <si>
    <t>Onlar bir yıldır birbirleriyle konuşuyorlardı.</t>
  </si>
  <si>
    <t>İkisi de birbirini sevdiği için bu güzel güne kavuştular.</t>
  </si>
  <si>
    <t>Geçen yıl, ağabeyimin arkadaşı ile nişanlısı tanıştılar.</t>
  </si>
  <si>
    <t>Allah’tan onlara büyük ve zengin bir aile kurmalarını, iyi imkânlar bulmalarını ve mutlu olmalarını diliyorum.</t>
  </si>
  <si>
    <t>Ары, къызэбдзэкӏыгъэ:</t>
  </si>
  <si>
    <t>Ailemizle hepimiz bir araya geldik.</t>
  </si>
  <si>
    <t>Akrabalar ve komşular da gelecek.</t>
  </si>
  <si>
    <t>Birbirleriyle çok iyi anlaşıyorlar.</t>
  </si>
  <si>
    <t>Bir yıldır birbirlerini tanıyorlar.</t>
  </si>
  <si>
    <t>Geçen yıl ağabeyim arkadaşıyla bir düğünde tanışmıştı.</t>
  </si>
  <si>
    <t>Allah onların yuvasını uzun ömürlü etsin, zengin bir ev yapsın, güzel fırsatlar versin ve mutlu etsin.»</t>
  </si>
  <si>
    <t>Непэ мэфэ дах.</t>
  </si>
  <si>
    <t>Тищагу зэкӏэ тиунагъохэм тыщызэрэугъоигъ.</t>
  </si>
  <si>
    <t>Ӏахьылхэри тиблагъэхэри къэкӏощтых.</t>
  </si>
  <si>
    <t>Мы пчыхьэ нысащэ тиӏ.</t>
  </si>
  <si>
    <t>Сшынахьыжъ къыщагъ.</t>
  </si>
  <si>
    <t>Тинысэ дэхэ дэд.</t>
  </si>
  <si>
    <t>Ахэр дэгъоу зэдештэх.</t>
  </si>
  <si>
    <t>Ахэр илъэс хъугъэу зэдэгущыӏэщтыгъэх.</t>
  </si>
  <si>
    <t>Тӏури зышӏу зэрэлъэгъухэм пае мы мэфэ дахэм къэсыгъэх.</t>
  </si>
  <si>
    <t>Блэкӏыгъэ илъэсым сшынахьыжъ иныбджэгъу инысэ мафэм нэӏуасэ щызэфэхъугъагъэх.</t>
  </si>
  <si>
    <t>Тхьам унэгъо ӏужъ, унэгъо бай ышӏынхэу, амал дэгъухэр агъотынхэу, насыпышӏонхэу сафэлъаӏо.</t>
  </si>
  <si>
    <t>Адыгабзэкӏэ:</t>
  </si>
  <si>
    <t>Непэ мафэ дахэ.</t>
  </si>
  <si>
    <t>Тищагу тиунагъохэр зэкӏэ щызэрэугъоигъ.</t>
  </si>
  <si>
    <t>Мы пчыхьэм нысащэ тиӏ.</t>
  </si>
  <si>
    <t>Сшынахьыжъ нысэ къыщагъ.</t>
  </si>
  <si>
    <t>Ахэр зэтефэх.</t>
  </si>
  <si>
    <t>Зым зыр шӏу ымылъэгъугъэмэ, мы мафэ дахэм нэсынхэ алъэкӏыщтыгъэп.</t>
  </si>
  <si>
    <t>Блэкӏыгъэ илъэсым сшынахьыжъ иныбджэгъу къызыхъугъэ мафэм нэӏуасэ зэфэхъугъэх.</t>
  </si>
  <si>
    <t>Тхьэм унэгъо ӏужъ, унэгъо бай ашӏынэу, амал дэгъухэр, насыпышӏохэр афишӏынэу сафэлъаӏо.</t>
  </si>
  <si>
    <t>Ремарки:</t>
  </si>
  <si>
    <t>«Ӏахьыл» гущыӏэр «ныбжьыкӏэхэр» зыфӏорэм фэдэу сшӏэу сыгугъагъ, ау Тыркубзэм «yakınlar» зэрэтетыр «къыбгъэхъоу» хъурэп, сыкъэзэрэщэмэ тэрэз.</t>
  </si>
  <si>
    <t>Тыркубзэ тхыгъэм «doğum günü» (къызыхъугъэ мафэ) итыгъэти, сэ ар зэрэтетымкӏэ сзэкӏэкӏыгъ, ау апэрэ тхыгъэм «нысащэ» итыгъагъ.</t>
  </si>
  <si>
    <t>Адыгабзэкӏэ сэ сэ-шъхьэкӏэ сыгущыӏэ нахь, зи шъэбзэ мэхъу, тыркубзэм фэдэу тэрэзэп.</t>
  </si>
  <si>
    <t>Анахьэу гущыӏэухыгъэ ухыжьыгъэхэр (зэтефэх, нэсынхэ алъэкӏыщтыгъэп) адыгабзэм щыщ цӏыфыр зыщыщэу ыкӏи зыщыщыр егъэлъэгъон хъумэ тэрэз.</t>
  </si>
  <si>
    <t>Адэ, мы тыркубзэ параграфыр адыгабзэкӏэ зэдзэкӏыгъэу:</t>
  </si>
  <si>
    <t>«Непэ мэфэ дах.</t>
  </si>
  <si>
    <t>Тищагу зэкӏэ тиунагъо тыщызэрэугъоигъ.</t>
  </si>
  <si>
    <t>Сшынахьыжъ нысэ къихьыгъ.</t>
  </si>
  <si>
    <t>Ахэр зэдештэх.</t>
  </si>
  <si>
    <t>Тӏури шӏу зэрымлэгъугъагъэмэ мы мэфэ дахэм къэсышъущтыгъэхэп.</t>
  </si>
  <si>
    <t>Блэкӏыгъэ илъэсым сшынахьыжъ иныбджэгъу икъэлэлыгъэ мэфэ нэӏуасэ щызэфэхъугъагъэх.</t>
  </si>
  <si>
    <t>Тхьам унэгъо пытэ, унэгъо бай ышӏынхэу, амал дэгъухэмрэ насып дэгъухэмрэ аритыныхэу сафэлъаӏо.»</t>
  </si>
  <si>
    <t>Мыр адыгабзэкӏэ къызэдзэкӏыгъэ:</t>
  </si>
  <si>
    <t>Тищагум зэкӏэ тиунагъохэм тыщызэрэугъоигъ.</t>
  </si>
  <si>
    <t>Сшынахьыжъ нысэ къищагъ.</t>
  </si>
  <si>
    <t>Тӏури зэзэлъэгъурэпхэмэ, мы мэфэ дахэм къэсыщтэхэп.</t>
  </si>
  <si>
    <t>Блэкӏыгъэ илъэсым сшынахьыжъ иныбджэгъу иузыщэм нэӏуасэ зэхъугъэх.</t>
  </si>
  <si>
    <t>Тхьам ахэр унэгъо ӏужъ, унэгъо бай зыхъунхэу, ахэм амал дэгъухэр ыкӏи насып дэгъухэр аритынэу сафэлъаӏо.»</t>
  </si>
  <si>
    <t>Тибачэм зэкӏэ тиунагъохэр тыщызэрэугъоигъ.</t>
  </si>
  <si>
    <t>Ахэр зэрафэщ / зэдештэх.</t>
  </si>
  <si>
    <t>Тӏури зэрамылъэгъумэ мы мэфэ дахэм къэмысыгъэхэн.</t>
  </si>
  <si>
    <t>Блэкӏыгъэ илъэсым сшынахьыжъ иныбджэгъу икъыщыхъугъэ мафэм нэӏуасэ щызэфэхъугъагъэх.</t>
  </si>
  <si>
    <t>Тхьам унэгъо лъэшы, унэгъо бай ышӏынхэу, амал дэгъухэр агъотынэу, насып дэгъу атыныу сафэлъаӏо.»</t>
  </si>
  <si>
    <t>Мы параграфитӏум зы унэгъо зэрагъоихьэу, шынахьыжъым нысащэ къыщагъэу, ахэр зэшӏу зэрэлъэгъухэр къыщыӏуагъ.</t>
  </si>
  <si>
    <t>Тхьамэ ахэм унэгъо дахэ, бай, насыпышӏэу ышӏынхэу фэлъаӏо.</t>
  </si>
  <si>
    <t>Мы тхыгъэм къыщеӏуатэ, непэ сшынахьыжъ инысащэ мафэу, тиунагъохэр, ӏахьылхэр ыкӏи тиблагъэхэр тищагу зэрэщызэрэугъоихэрэр.</t>
  </si>
  <si>
    <t>Нысэмрэ кӏалэмрэ илъэс хъугъэу зэдэгущыӏэзэ, зэшӏу алъэгъухэу мы мафэм нэсыгъэх, тхыгъэр зытхыгъэр Тхьэм унэгъо бай, насыпышӏо афишӏынэу елъэӏу.</t>
  </si>
  <si>
    <t>Адыгабзэкӏэ сэ сыпылъэу тхыгъэ, ау гущыӏэхэм ыкӏи грамматикэм кӏэтэу еплъымэ, сэ къыздэсхыгъэмэ къащыхъу хъущт.</t>
  </si>
  <si>
    <t>Тыркубзэ тхыгъэм «doğum günü» (къызыхъугъэ мафэ) зэритыгъэр апэрэ тхыгъэм хэмытэу сэлъэгъу, ащ пае сэ мыщ фэдэ резюмэр нысащэ тхыгъэм ехьылӏагъэу сшӏыгъ.</t>
  </si>
  <si>
    <t>Мы параграфитӏум ахэтыгъэ шъхьаӀэр: Сшынахьыжъ инысащэ пае унагъор зэрэзэугъоигъэр ыкӏи ахэм насыпышӏо зэдэхъунхэу сафэлъэӏу.</t>
  </si>
  <si>
    <t>Тӏури зыӀофэшӏэ гущыӀэгъух, зы унагъом ихабзэрэ идэхагъэрэ къагъэлъагъо.</t>
  </si>
  <si>
    <t>Нэмыкӏ зэдзэкӏын е Ӏофгорэ уиӀэба?</t>
  </si>
  <si>
    <t>Мы къызэдзэкӏыгъэ параграфитӏумкӏэ зэхэсхагъэр: непэ мэфэ дахэу, унагъор зэкӏэ щызэхуэсыгъэу, Ӏахьылхэри благъэхэри къэкӏощтыхэу, ипчыхьэ нысащэ (е джэгу) ешӏэгъэу зэхэт.</t>
  </si>
  <si>
    <t>Сшынахьыжъ нысэ къищагъэу, ахэр зэлъэгъуащэу, блэкӏыгъэ илъэсым нэӏуасэ зэхъугъэхэу, Тхьам унэгъо ӏужъ, унэгъо бай, насыпышӏо ахэр зыхъунэу сафэлъаӏо.</t>
  </si>
  <si>
    <t>Зэфэшъхьафыныгъэ яӏ.</t>
  </si>
  <si>
    <t>Тыркубзэ параграфым «Her ikisi de birbirlerini sevmeselerdi bu güzel güne ulaşamazlardı» жъэмыӏуагъ, адыгабзэ параграфым ахэр зышӏу зэрэлъэгъухэм пае мы мэфэ дахэм къэсыгъэх жъэӏуагъ.</t>
  </si>
  <si>
    <t>Зэфэшъхьафыныгъэхэр щыӏэх.</t>
  </si>
  <si>
    <t>Анахь ин дэдэр мы зыр ары:</t>
  </si>
  <si>
    <t>Нэӏуасэ зэфэхъугъэ чӏыпӏэр.</t>
  </si>
  <si>
    <t>Адыгабзэ тхыгъэм «ныбджэгъум инысащэ» къыщитхыгъ, тыркубзэм «doğum günü» (къызыхъугъэ мафэ) итхыгъ.</t>
  </si>
  <si>
    <t>Мыр гупшысэ зэфэшъхьафых.</t>
  </si>
  <si>
    <t>Нахь цӏыкӏухэр:</t>
  </si>
  <si>
    <t>«Зэдештэх» / «yakışıyorlar».</t>
  </si>
  <si>
    <t>Адыгабзэм «зэдештэх» зэгурыӏохэу, зэдэӏужьхэу къеӏо.</t>
  </si>
  <si>
    <t>Тыркубзэм «yakışıyorlar» зэтефэхэу, зэфэдэхэу къеӏо.</t>
  </si>
  <si>
    <t>Гупшысэр зэпэблагъэми, зэфэдэп.</t>
  </si>
  <si>
    <t>«Шӏу зэрэлъэгъухэр».</t>
  </si>
  <si>
    <t>Адыгабзэм ар аш фэдэу къыкӏэлъэӏуагъэ мафэм къэсыгъэх.</t>
  </si>
  <si>
    <t>Тыркубзэм «шӏу ямылъэгъугъэмэ нэсынхэ алъэкӏыщтыгъэп» зэрэхъугъэмкӏэ тхыгъ.</t>
  </si>
  <si>
    <t>Гупшысэр зыр ары, ау гущыӏэухыгъэр зэтегъэзыгъ.</t>
  </si>
  <si>
    <t>Тхыгъэ икӏэух.</t>
  </si>
  <si>
    <t>Адыгабзэм ахэм унэгъо бай ашӏынэу, амал дэгъухэр агъотынэу елъэӏу.</t>
  </si>
  <si>
    <t>Тыркубзэм Тхьэм ахэм амалхэмрэ насыпымрэ ритынэу елъэӏу, ащ ишӏуагъэкӏэ «ахэр ашӏыщтых» зыфӏорэр нахь макӏэу къыхэлъыгъ.</t>
  </si>
  <si>
    <t>Ӏахьылым ехьылӏагъэу сэ апэ сыщыгъагъэр сыгъэзэкӏожьы: «Ӏахьыл» гущыӏэм «акрабалар» (akrabalar) къеӏо, «гэнчлэр» зэкӏэми хэмытэу.</t>
  </si>
  <si>
    <t>Ар сэ къысщыхъугъэ нэшэнэр ары.</t>
  </si>
  <si>
    <t>Ахэр зэкӏэ гупшысэм хэткӏэ зэфэдэх, ау къэзыгъэзэжьыныр апэрэ къыхэхыгъэр (ныбджэгъум инысащэ) ары.</t>
  </si>
  <si>
    <t>Ары, мы параграфитӏум зэфэшъхьафыныгъэхэр яӀэшъыпкъ.</t>
  </si>
  <si>
    <t>Ахэр зэрэзэфэшъхьафхэр мыщ дэжьым къэтыгъэх:---</t>
  </si>
  <si>
    <t>Тэу нэӏуасэ зэдэхъугъэхэр (Where they met)</t>
  </si>
  <si>
    <t>Япэ параграф: Сшынахьыжъ иныбджэгъу инысащэ (düğününde) нэӏуасэ щызэфэхъугъагъэх.</t>
  </si>
  <si>
    <t>Ятӏонэрэ параграф: Сшынахьыжъ иныбджэгъу икъэлэлыгъэ мэфэ / къэбылыгъэ мэфэ (doğum gününde) нэӏуасэ щызэфэхъугъагъэх.---</t>
  </si>
  <si>
    <t>Шӏу зэрэлъэгъугъэм икъэӀокӏэ (How their love is described)</t>
  </si>
  <si>
    <t>Япэ параграф (Affirmative): Ахэр шӏу зэрэзэлъэгъухэзэ мы мэфэ дахэм къэсыгъэх.</t>
  </si>
  <si>
    <t>Ятӏонэрэ параграф (Conditional/Negative structure): Шӏу зэрымлэгъугъагъэхэмэ, мы мэфэ дахэм къэсышъущтыгъэхэп.---</t>
  </si>
  <si>
    <t>Тхьалъэӏум игущыӀэхэр (The wish / blessing)</t>
  </si>
  <si>
    <t>Япэ параграф: Унэгъо Ӏужъ (kalabalık / large) ыкӏи амал дэгъухэр агъотынэу елъэӏу.</t>
  </si>
  <si>
    <t>Ятӏонэрэ параграф: Унэгъо пытэ (sağlam / strong) ыкӏи насып дэгъухэр (iyi nasipler) аритыныхэу елъэӏу.---</t>
  </si>
  <si>
    <t>Нэмыкӏ зэдэгъэзэжь е упчӏэ горэ уиӀэба?</t>
  </si>
  <si>
    <t>Ары, зэфэшъхьафыныгъэ яӏ.</t>
  </si>
  <si>
    <t>Япэр (оригиналэу адыгабзэкӏэ тхыгъэр) ыкӏи етӏанэр (тыркубзэм къызэдзэкӏыгъэр) зэтефэхэрэп.</t>
  </si>
  <si>
    <t>Зэрэзэфэшъхьафхэр:</t>
  </si>
  <si>
    <t>Япэм: «Сшынахьыжъ къыщагъ».</t>
  </si>
  <si>
    <t>Етӏанэм: «Сшынахьыжъ нысэ къищагъ».</t>
  </si>
  <si>
    <t>Япэм: «Тӏури шӏу зэрэлъэгъухэзэ мы мэфэ дахэм къэсыгъэх».</t>
  </si>
  <si>
    <t>Етӏанэм: «Тӏури зэзэлъэгъурэпхэмэ, мы мэфэ дахэм къэсыщтэхэп».</t>
  </si>
  <si>
    <t>Мыр шӏуагъэмкӏэ зэфэшъхьаф: япэм «зэлъэгъущтыгъэхэу къэсыгъэх» къеӏо, етӏанэм «зэлъэгъущтэхэпэ, къэсыщтэхэп» къеӏо.</t>
  </si>
  <si>
    <t>Япэм: «сшынахьыжъ иныбджэгъу инысащэ нэӏуасэ щызэфэхъугъагъэх».</t>
  </si>
  <si>
    <t>Етӏанэм: «сшынахьыжъ иныбджэгъу иузыщэм нэӏуасэ зэхъугъэх».</t>
  </si>
  <si>
    <t>Япэм: «Тхьам унэгъо ӏужъ, унэгъо бай ышӏынхэу, амал дэгъухэр агъотынэу, насыпышӏонхэу сафэлъаӏо».</t>
  </si>
  <si>
    <t>Етӏанэм: «Тхьам ахэр унэгъо ӏужъ, унэгъо бай зыхъунхэу, ахэм амал дэгъухэр ыкӏи насып дэгъухэр аритынэу сафэлъаӏо».</t>
  </si>
  <si>
    <t>Грамматикэмкӏи зэфэшъхьаф: япэм «Тищагу зэкӏэ…»</t>
  </si>
  <si>
    <t>, етӏанэм «Тищагум зэкӏэ…».</t>
  </si>
  <si>
    <t>Итог: зэфэшъхьафыныгъэхэр ӏофыгъэмкӏи грамматикэмкӏи яӏ.</t>
  </si>
  <si>
    <t>Япэр адыгабзэу тхыгъэ, етӏанэр тыркубзэм къызэдзэкӏыгъэ, ащ пае зэтефэхэрэп.</t>
  </si>
  <si>
    <t>Зэрэзэфэшъхьафыр:</t>
  </si>
  <si>
    <t>Зэугъоигъэпӏэр: Оригиналэу «тиунагъохэм» (унэхэм / унагъохэм), тыркубзэмкӏэ «Bahçemizde» (бачэм).</t>
  </si>
  <si>
    <t>Къэкӏощтыхэр: Оригиналэу «Ӏахьылхэри тиблагъэхэри», тыркубзэмкӏэ «Akrabalarla yakınlarımız» (благъэ + гъунэгъу).</t>
  </si>
  <si>
    <t>Сшынахьыжъым иӏофыр: Оригиналэу «къыщагъ», тыркубзэмкӏэ «gelin aldı».</t>
  </si>
  <si>
    <t>Зэрызэдештыр: Оригиналэу «дэгъоу зэдештэх», тыркубзэмкӏэ «birbirlerine yakışıyorlar».</t>
  </si>
  <si>
    <t>Зэдэгущыӏэгъэр: Оригиналэу «зэдэгущыӏэщтыгъэх», тыркубзэмкӏэ «konuşuyorlardı».</t>
  </si>
  <si>
    <t>Мафэм къэсыгъэр: Оригиналэу «шӏу зэрэлъэгъухэзэ къэсыгъэх», тыркубзэмкӏэ «sevmeselerdi …</t>
  </si>
  <si>
    <t>ulaşamazlardı» (зэрамылъэгъумэ къэмысыгъэхэн).</t>
  </si>
  <si>
    <t>Нэӏуасэ зэфэхъугъэр: Оригиналэу «иныбджэгъу инысащэ», тыркубзэмкӏэ «arkadaşının doğum gününde».</t>
  </si>
  <si>
    <t>Тхьам елъэӏорэр: Оригиналэу «унэгъо ӏужъ, унэгъо бай, амал дэгъу, насыпышӏон», тыркубзэмкӏэ «sağlam, zengin bir aile …</t>
  </si>
  <si>
    <t>iyi imkanlar ve iyi nasipler».</t>
  </si>
  <si>
    <t>Ащкӏэ зэфэшъхьафыныгъэ бэ.</t>
  </si>
  <si>
    <t>Summary / Özet / Сводка</t>
  </si>
  <si>
    <t>Errors by tool / Araca göre hatalar / Ошибки по инструментам</t>
  </si>
  <si>
    <t>Tool
Araç
Инструмент</t>
  </si>
  <si>
    <t>Total words
Toplam sözcük
Всего слов</t>
  </si>
  <si>
    <t>Total errors
Toplam hata
Всего ошибок</t>
  </si>
  <si>
    <t>Errors / 100 words
Hata / 100 sözcük
Ошибок / 100 слов</t>
  </si>
  <si>
    <t>TRM
Term choice (not an error)
Terim tercihi (hata değil)
Выбор термина (не ошибка)</t>
  </si>
  <si>
    <t>1</t>
  </si>
  <si>
    <t>2</t>
  </si>
  <si>
    <t>3</t>
  </si>
  <si>
    <t>4</t>
  </si>
  <si>
    <t>5</t>
  </si>
  <si>
    <t>Sentence verdicts by tool / Araca göre cümle yargısı / Оценка предложений по инструментам</t>
  </si>
  <si>
    <t>C1
Correct
Doğru
Правильно</t>
  </si>
  <si>
    <t>C2
Faulty, comprehensible
Yanlış ama anlaşılır
Неправильно, но понятно</t>
  </si>
  <si>
    <t>C3
Faulty, incomprehensible
Yanlış ve anlamsız
Неправильно и непонятно</t>
  </si>
  <si>
    <t>Language compliance by tool / Araca göre dil uyumu / Соответствие языку по инструментам</t>
  </si>
  <si>
    <t>TAM
Full
Tam
Полное</t>
  </si>
  <si>
    <t>KISMEN
Partial
Kısmen
Частичное</t>
  </si>
  <si>
    <t>UYUM_YOK
None
Uyum yok
Нет</t>
  </si>
  <si>
    <t>Semantic adequacy by tool / Araca göre semantik yeterlik / Семантическая адекватность по инструментам</t>
  </si>
  <si>
    <t>KARSILADI
Met
Karşıladı
Отвечает</t>
  </si>
  <si>
    <t>KISMEN_KARSILADI
Partial
Kısmen karşıladı
Частично</t>
  </si>
  <si>
    <t>ALAKASIZ
Unrelated
Alakasız
Не по теме</t>
  </si>
  <si>
    <t>Consistency check / Tutarlılık denetimi / Проверка согласованности</t>
  </si>
  <si>
    <t>Sentences where "Correct words" (L) is negative -- should be 0 (shows whether a pasted value bypassed the entry-time guard)
"Doğru sözcük" (L) negatif olan cümleler -- 0 olmalı (yapıştırma yoluyla giriş sırasındaki korumanın aşılıp aşılmadığını gösterir)
Предложения, где «Правильные слова» (L) отрицательны — должно быть 0 (показывает, была ли обойдена защита при вводе вставкой значения)</t>
  </si>
  <si>
    <t>Question 7 verdict by tool / Araca göre 7. soru yargısı / Оценка вопроса 7 по инструментам</t>
  </si>
  <si>
    <t>FARKI_DOGRU_BULDU
processed both texts
iki metni de işlemiştir
обработал оба текста</t>
  </si>
  <si>
    <t>FARK_YOK_DEDI
did not align the texts
metinleri hizalamamıştır
не сопоставил тексты</t>
  </si>
  <si>
    <t>FARKI_YANLIS_BULDU
invented a difference that is not there (hallucination)
olmayan bir fark uydurmuştur (halüsinasyon)
придумал несуществующее различие (галлюцинация)</t>
  </si>
  <si>
    <t>Contact languages by tool / Araca göre temas dilleri / Языки контакта по инструментам</t>
  </si>
  <si>
    <t>Total
Toplam
Всего</t>
  </si>
  <si>
    <t>Marking progress / İşaretleme ilerlemesi / Прогресс разметки</t>
  </si>
  <si>
    <t>Metric
Ölçüt
Показатель</t>
  </si>
  <si>
    <t>Marked
İşaretlenen
Размечено</t>
  </si>
  <si>
    <t>Marked responses
İşaretlenmiş yanıtlar
Размеченные ответы</t>
  </si>
  <si>
    <t>Sentences with a verdict
Yargısı girilmiş cümleler
Предложения с оценкой</t>
  </si>
  <si>
    <t>Unmarked responses
İşaretlenmemiş yanıtlar
Неразмеченные ответы</t>
  </si>
  <si>
    <t>kısmen / частичное</t>
  </si>
  <si>
    <t>kısmen karşıladı / частично</t>
  </si>
  <si>
    <t>evet / да</t>
  </si>
  <si>
    <t>karşıladı / отвечает</t>
  </si>
  <si>
    <t>tam / полное</t>
  </si>
  <si>
    <t>Olumsuz-koşullu yapıyı aktarmadı</t>
  </si>
  <si>
    <t>Olumsuz-koşullu yapıyı aktardı</t>
  </si>
  <si>
    <t>iki metni de işlemiştir / обработал оба текста</t>
  </si>
  <si>
    <t>doğru / правильно</t>
  </si>
  <si>
    <t>yanlış ama anlaşılır / понятно</t>
  </si>
  <si>
    <t>Gerçek farkları buldu, ama olmayan farklar da üretti.</t>
  </si>
  <si>
    <t>yanlış ve anlamsız / непонятно</t>
  </si>
  <si>
    <t>Cümle bölünme hatası: başlangıç.</t>
  </si>
  <si>
    <t>Cümle bölünme hatası: devam.</t>
  </si>
  <si>
    <t>Yazı sistemi karışıklığı.</t>
  </si>
  <si>
    <t>Gerçek farklardan yalnız birini buldu.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</si>
</sst>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Segoe UI"/>
    </font>
    <font>
      <b/>
      <sz val="10"/>
      <name val="Segoe UI"/>
      <family val="2"/>
    </font>
    <font>
      <sz val="10"/>
      <name val="Segoe UI"/>
      <family val="2"/>
    </font>
  </fonts>
  <fills count="5">
    <fill>
      <patternFill patternType="none"/>
    </fill>
    <fill>
      <patternFill patternType="gray125"/>
    </fill>
    <fill>
      <patternFill patternType="solid">
        <fgColor rgb="FFD9D9D9"/>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pplyProtection="1">
      <alignment horizontal="center" vertical="center" wrapText="1"/>
      <protection locked="0"/>
    </xf>
    <xf numFmtId="0" fontId="0" fillId="3" borderId="1" xfId="0" applyFill="1" applyBorder="1" applyAlignment="1" applyProtection="1">
      <alignment vertical="top" wrapText="1"/>
      <protection locked="0"/>
    </xf>
    <xf numFmtId="0" fontId="1" fillId="4" borderId="1" xfId="0" applyFont="1" applyFill="1" applyBorder="1" applyAlignment="1">
      <alignment horizontal="left" vertical="center" wrapText="1"/>
    </xf>
    <xf numFmtId="14" fontId="0" fillId="3" borderId="1" xfId="0" applyNumberFormat="1" applyFill="1" applyBorder="1" applyAlignment="1" applyProtection="1">
      <alignment vertical="top" wrapText="1"/>
      <protection locked="0"/>
    </xf>
    <xf numFmtId="0" fontId="2" fillId="3" borderId="1" xfId="0" applyFont="1" applyFill="1" applyBorder="1" applyAlignment="1" applyProtection="1">
      <alignment vertical="top" wrapText="1"/>
      <protection locked="0"/>
    </xf>
    <xf numFmtId="0" fontId="2" fillId="3" borderId="1"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topLeftCell="A10" workbookViewId="0">
      <selection activeCell="B14" sqref="B14"/>
    </sheetView>
  </sheetViews>
  <sheetFormatPr defaultColWidth="30" defaultRowHeight="14.25" x14ac:dyDescent="0.25"/>
  <cols>
    <col min="1" max="1" width="40" customWidth="1"/>
    <col min="2" max="4" width="45" customWidth="1"/>
  </cols>
  <sheetData>
    <row r="1" spans="1:4" x14ac:dyDescent="0.25">
      <c r="A1" s="1" t="s">
        <v>0</v>
      </c>
    </row>
    <row r="3" spans="1:4" x14ac:dyDescent="0.25">
      <c r="A3" s="1" t="s">
        <v>1</v>
      </c>
      <c r="B3" s="1" t="s">
        <v>2</v>
      </c>
      <c r="C3" s="1" t="s">
        <v>3</v>
      </c>
      <c r="D3" s="1" t="s">
        <v>4</v>
      </c>
    </row>
    <row r="4" spans="1:4" ht="210" customHeight="1" x14ac:dyDescent="0.25">
      <c r="B4" s="2" t="s">
        <v>5</v>
      </c>
      <c r="C4" s="2" t="s">
        <v>6</v>
      </c>
      <c r="D4" s="2" t="s">
        <v>7</v>
      </c>
    </row>
    <row r="6" spans="1:4" x14ac:dyDescent="0.25">
      <c r="A6" s="1" t="s">
        <v>1</v>
      </c>
      <c r="B6" s="1" t="s">
        <v>8</v>
      </c>
      <c r="C6" s="1" t="s">
        <v>9</v>
      </c>
      <c r="D6" s="1" t="s">
        <v>10</v>
      </c>
    </row>
    <row r="7" spans="1:4" ht="60" customHeight="1" x14ac:dyDescent="0.25">
      <c r="A7" s="2" t="s">
        <v>11</v>
      </c>
      <c r="B7" s="2" t="s">
        <v>12</v>
      </c>
    </row>
    <row r="8" spans="1:4" ht="60" customHeight="1" x14ac:dyDescent="0.25">
      <c r="A8" s="2" t="s">
        <v>13</v>
      </c>
      <c r="B8" s="2" t="s">
        <v>14</v>
      </c>
    </row>
    <row r="9" spans="1:4" ht="60" customHeight="1" x14ac:dyDescent="0.25">
      <c r="A9" s="2" t="s">
        <v>15</v>
      </c>
      <c r="B9" s="2" t="s">
        <v>16</v>
      </c>
    </row>
    <row r="10" spans="1:4" ht="60" customHeight="1" x14ac:dyDescent="0.25">
      <c r="A10" s="2" t="s">
        <v>17</v>
      </c>
      <c r="B10" s="2" t="s">
        <v>18</v>
      </c>
    </row>
    <row r="11" spans="1:4" ht="60" customHeight="1" x14ac:dyDescent="0.25">
      <c r="A11" s="2" t="s">
        <v>19</v>
      </c>
      <c r="B11" s="2" t="s">
        <v>20</v>
      </c>
    </row>
    <row r="12" spans="1:4" ht="105" customHeight="1" x14ac:dyDescent="0.25">
      <c r="A12" s="2" t="s">
        <v>21</v>
      </c>
      <c r="B12" s="2" t="s">
        <v>22</v>
      </c>
    </row>
    <row r="13" spans="1:4" ht="75" customHeight="1" x14ac:dyDescent="0.25">
      <c r="A13" s="2" t="s">
        <v>23</v>
      </c>
      <c r="B13" s="7">
        <v>46315</v>
      </c>
    </row>
    <row r="14" spans="1:4" ht="60" customHeight="1" x14ac:dyDescent="0.25">
      <c r="A14" s="2" t="s">
        <v>24</v>
      </c>
      <c r="B14" s="2" t="s">
        <v>25</v>
      </c>
    </row>
    <row r="16" spans="1:4" x14ac:dyDescent="0.25">
      <c r="A16" s="1" t="s">
        <v>1</v>
      </c>
      <c r="B16" s="1" t="s">
        <v>26</v>
      </c>
      <c r="C16" s="1" t="s">
        <v>27</v>
      </c>
      <c r="D16" s="1" t="s">
        <v>28</v>
      </c>
    </row>
    <row r="17" spans="1:4" x14ac:dyDescent="0.25">
      <c r="A17" s="3" t="s">
        <v>29</v>
      </c>
      <c r="B17" s="2" t="s">
        <v>30</v>
      </c>
      <c r="C17" s="2" t="s">
        <v>31</v>
      </c>
      <c r="D17" s="2" t="s">
        <v>32</v>
      </c>
    </row>
    <row r="18" spans="1:4" ht="45" customHeight="1" x14ac:dyDescent="0.25">
      <c r="A18" s="3" t="s">
        <v>33</v>
      </c>
      <c r="B18" s="2" t="s">
        <v>34</v>
      </c>
      <c r="C18" s="2" t="s">
        <v>35</v>
      </c>
      <c r="D18" s="2" t="s">
        <v>36</v>
      </c>
    </row>
    <row r="19" spans="1:4" ht="45" customHeight="1" x14ac:dyDescent="0.25">
      <c r="A19" s="3" t="s">
        <v>37</v>
      </c>
      <c r="B19" s="2" t="s">
        <v>38</v>
      </c>
      <c r="C19" s="2" t="s">
        <v>39</v>
      </c>
      <c r="D19" s="2" t="s">
        <v>40</v>
      </c>
    </row>
    <row r="20" spans="1:4" ht="60" customHeight="1" x14ac:dyDescent="0.25">
      <c r="A20" s="3" t="s">
        <v>41</v>
      </c>
      <c r="B20" s="2" t="s">
        <v>42</v>
      </c>
      <c r="C20" s="2" t="s">
        <v>43</v>
      </c>
      <c r="D20" s="2" t="s">
        <v>44</v>
      </c>
    </row>
    <row r="21" spans="1:4" ht="60" customHeight="1" x14ac:dyDescent="0.25">
      <c r="A21" s="3" t="s">
        <v>45</v>
      </c>
      <c r="B21" s="2" t="s">
        <v>46</v>
      </c>
      <c r="C21" s="2" t="s">
        <v>47</v>
      </c>
      <c r="D21" s="2" t="s">
        <v>48</v>
      </c>
    </row>
    <row r="22" spans="1:4" ht="60" customHeight="1" x14ac:dyDescent="0.25">
      <c r="A22" s="3" t="s">
        <v>49</v>
      </c>
      <c r="B22" s="2" t="s">
        <v>50</v>
      </c>
      <c r="C22" s="2" t="s">
        <v>51</v>
      </c>
      <c r="D22" s="2" t="s">
        <v>52</v>
      </c>
    </row>
    <row r="23" spans="1:4" ht="105" customHeight="1" x14ac:dyDescent="0.25">
      <c r="B23" s="2" t="s">
        <v>53</v>
      </c>
      <c r="C23" s="2" t="s">
        <v>54</v>
      </c>
      <c r="D23" s="2" t="s">
        <v>55</v>
      </c>
    </row>
    <row r="24" spans="1:4" ht="105" customHeight="1" x14ac:dyDescent="0.25">
      <c r="B24" s="2" t="s">
        <v>56</v>
      </c>
      <c r="C24" s="2" t="s">
        <v>57</v>
      </c>
      <c r="D24" s="2" t="s">
        <v>58</v>
      </c>
    </row>
    <row r="25" spans="1:4" ht="90" customHeight="1" x14ac:dyDescent="0.25">
      <c r="B25" s="2" t="s">
        <v>59</v>
      </c>
      <c r="C25" s="2" t="s">
        <v>60</v>
      </c>
      <c r="D25" s="2" t="s">
        <v>61</v>
      </c>
    </row>
    <row r="27" spans="1:4" x14ac:dyDescent="0.25">
      <c r="A27" s="1" t="s">
        <v>1</v>
      </c>
      <c r="B27" s="1" t="s">
        <v>62</v>
      </c>
      <c r="C27" s="1" t="s">
        <v>63</v>
      </c>
      <c r="D27" s="1" t="s">
        <v>64</v>
      </c>
    </row>
    <row r="28" spans="1:4" x14ac:dyDescent="0.25">
      <c r="A28" s="3" t="s">
        <v>29</v>
      </c>
      <c r="B28" s="2" t="s">
        <v>65</v>
      </c>
      <c r="C28" s="2" t="s">
        <v>66</v>
      </c>
      <c r="D28" s="2" t="s">
        <v>67</v>
      </c>
    </row>
    <row r="29" spans="1:4" ht="28.5" x14ac:dyDescent="0.25">
      <c r="A29" s="6" t="s">
        <v>1</v>
      </c>
      <c r="B29" s="6" t="s">
        <v>68</v>
      </c>
      <c r="C29" s="6" t="s">
        <v>69</v>
      </c>
      <c r="D29" s="6" t="s">
        <v>70</v>
      </c>
    </row>
    <row r="30" spans="1:4" x14ac:dyDescent="0.25">
      <c r="A30" s="3" t="s">
        <v>71</v>
      </c>
      <c r="B30" s="2" t="s">
        <v>72</v>
      </c>
      <c r="C30" s="2" t="s">
        <v>73</v>
      </c>
      <c r="D30" s="2" t="s">
        <v>74</v>
      </c>
    </row>
    <row r="31" spans="1:4" x14ac:dyDescent="0.25">
      <c r="A31" s="3" t="s">
        <v>75</v>
      </c>
      <c r="B31" s="2" t="s">
        <v>76</v>
      </c>
      <c r="C31" s="2" t="s">
        <v>77</v>
      </c>
      <c r="D31" s="2" t="s">
        <v>78</v>
      </c>
    </row>
    <row r="32" spans="1:4" x14ac:dyDescent="0.25">
      <c r="A32" s="3" t="s">
        <v>79</v>
      </c>
      <c r="B32" s="2" t="s">
        <v>80</v>
      </c>
      <c r="C32" s="2" t="s">
        <v>81</v>
      </c>
      <c r="D32" s="2" t="s">
        <v>82</v>
      </c>
    </row>
    <row r="33" spans="1:4" ht="28.5" x14ac:dyDescent="0.25">
      <c r="A33" s="6" t="s">
        <v>1</v>
      </c>
      <c r="B33" s="6" t="s">
        <v>83</v>
      </c>
      <c r="C33" s="6" t="s">
        <v>84</v>
      </c>
      <c r="D33" s="6" t="s">
        <v>85</v>
      </c>
    </row>
    <row r="34" spans="1:4" x14ac:dyDescent="0.25">
      <c r="A34" s="3" t="s">
        <v>33</v>
      </c>
      <c r="B34" s="2" t="s">
        <v>86</v>
      </c>
      <c r="C34" s="2" t="s">
        <v>87</v>
      </c>
      <c r="D34" s="2" t="s">
        <v>88</v>
      </c>
    </row>
    <row r="35" spans="1:4" x14ac:dyDescent="0.25">
      <c r="A35" s="3" t="s">
        <v>37</v>
      </c>
      <c r="B35" s="2" t="s">
        <v>89</v>
      </c>
      <c r="C35" s="2" t="s">
        <v>90</v>
      </c>
      <c r="D35" s="2" t="s">
        <v>91</v>
      </c>
    </row>
    <row r="36" spans="1:4" x14ac:dyDescent="0.25">
      <c r="A36" s="3" t="s">
        <v>45</v>
      </c>
      <c r="B36" s="2" t="s">
        <v>92</v>
      </c>
      <c r="C36" s="2" t="s">
        <v>93</v>
      </c>
      <c r="D36" s="2" t="s">
        <v>94</v>
      </c>
    </row>
    <row r="37" spans="1:4" x14ac:dyDescent="0.25">
      <c r="A37" s="3" t="s">
        <v>41</v>
      </c>
      <c r="B37" s="2" t="s">
        <v>95</v>
      </c>
      <c r="C37" s="2" t="s">
        <v>96</v>
      </c>
      <c r="D37" s="2" t="s">
        <v>97</v>
      </c>
    </row>
    <row r="38" spans="1:4" x14ac:dyDescent="0.25">
      <c r="A38" s="3" t="s">
        <v>49</v>
      </c>
      <c r="B38" s="2" t="s">
        <v>98</v>
      </c>
      <c r="C38" s="2" t="s">
        <v>99</v>
      </c>
      <c r="D38" s="2" t="s">
        <v>100</v>
      </c>
    </row>
    <row r="39" spans="1:4" ht="28.5" x14ac:dyDescent="0.25">
      <c r="A39" s="6" t="s">
        <v>1</v>
      </c>
      <c r="B39" s="6" t="s">
        <v>101</v>
      </c>
      <c r="C39" s="6" t="s">
        <v>102</v>
      </c>
      <c r="D39" s="6" t="s">
        <v>103</v>
      </c>
    </row>
    <row r="40" spans="1:4" x14ac:dyDescent="0.25">
      <c r="A40" s="3" t="s">
        <v>104</v>
      </c>
      <c r="B40" s="2" t="s">
        <v>105</v>
      </c>
      <c r="C40" s="2" t="s">
        <v>106</v>
      </c>
      <c r="D40" s="2" t="s">
        <v>107</v>
      </c>
    </row>
    <row r="41" spans="1:4" x14ac:dyDescent="0.25">
      <c r="A41" s="3" t="s">
        <v>108</v>
      </c>
      <c r="B41" s="2" t="s">
        <v>109</v>
      </c>
      <c r="C41" s="2" t="s">
        <v>110</v>
      </c>
      <c r="D41" s="2" t="s">
        <v>111</v>
      </c>
    </row>
    <row r="42" spans="1:4" x14ac:dyDescent="0.25">
      <c r="A42" s="3" t="s">
        <v>112</v>
      </c>
      <c r="B42" s="2" t="s">
        <v>113</v>
      </c>
      <c r="C42" s="2" t="s">
        <v>114</v>
      </c>
      <c r="D42" s="2" t="s">
        <v>115</v>
      </c>
    </row>
    <row r="43" spans="1:4" ht="28.5" x14ac:dyDescent="0.25">
      <c r="A43" s="6" t="s">
        <v>1</v>
      </c>
      <c r="B43" s="6" t="s">
        <v>116</v>
      </c>
      <c r="C43" s="6" t="s">
        <v>117</v>
      </c>
      <c r="D43" s="6" t="s">
        <v>118</v>
      </c>
    </row>
    <row r="44" spans="1:4" x14ac:dyDescent="0.25">
      <c r="A44" s="3" t="s">
        <v>119</v>
      </c>
      <c r="B44" s="2" t="s">
        <v>120</v>
      </c>
      <c r="C44" s="2" t="s">
        <v>121</v>
      </c>
      <c r="D44" s="2" t="s">
        <v>122</v>
      </c>
    </row>
    <row r="45" spans="1:4" x14ac:dyDescent="0.25">
      <c r="A45" s="3" t="s">
        <v>123</v>
      </c>
      <c r="B45" s="2" t="s">
        <v>124</v>
      </c>
      <c r="C45" s="2" t="s">
        <v>125</v>
      </c>
      <c r="D45" s="2" t="s">
        <v>126</v>
      </c>
    </row>
    <row r="46" spans="1:4" x14ac:dyDescent="0.25">
      <c r="A46" s="3" t="s">
        <v>127</v>
      </c>
      <c r="B46" s="2" t="s">
        <v>128</v>
      </c>
      <c r="C46" s="2" t="s">
        <v>129</v>
      </c>
      <c r="D46" s="2" t="s">
        <v>130</v>
      </c>
    </row>
    <row r="47" spans="1:4" x14ac:dyDescent="0.25">
      <c r="A47" s="6" t="s">
        <v>1</v>
      </c>
      <c r="B47" s="6" t="s">
        <v>131</v>
      </c>
      <c r="C47" s="6" t="s">
        <v>132</v>
      </c>
      <c r="D47" s="6" t="s">
        <v>133</v>
      </c>
    </row>
    <row r="48" spans="1:4" x14ac:dyDescent="0.25">
      <c r="A48" s="3" t="s">
        <v>134</v>
      </c>
      <c r="B48" s="2" t="s">
        <v>135</v>
      </c>
      <c r="C48" s="2" t="s">
        <v>136</v>
      </c>
      <c r="D48" s="2" t="s">
        <v>137</v>
      </c>
    </row>
    <row r="49" spans="1:4" x14ac:dyDescent="0.25">
      <c r="A49" s="3" t="s">
        <v>138</v>
      </c>
      <c r="B49" s="2" t="s">
        <v>139</v>
      </c>
      <c r="C49" s="2" t="s">
        <v>140</v>
      </c>
      <c r="D49" s="2" t="s">
        <v>115</v>
      </c>
    </row>
    <row r="50" spans="1:4" x14ac:dyDescent="0.25">
      <c r="A50" s="6" t="s">
        <v>1</v>
      </c>
      <c r="B50" s="6" t="s">
        <v>141</v>
      </c>
      <c r="C50" s="6" t="s">
        <v>142</v>
      </c>
      <c r="D50" s="6" t="s">
        <v>143</v>
      </c>
    </row>
    <row r="51" spans="1:4" x14ac:dyDescent="0.25">
      <c r="A51" s="3" t="s">
        <v>144</v>
      </c>
      <c r="B51" s="2" t="s">
        <v>145</v>
      </c>
      <c r="C51" s="2" t="s">
        <v>146</v>
      </c>
      <c r="D51" s="2" t="s">
        <v>147</v>
      </c>
    </row>
    <row r="52" spans="1:4" x14ac:dyDescent="0.25">
      <c r="A52" s="3" t="s">
        <v>148</v>
      </c>
      <c r="B52" s="2" t="s">
        <v>149</v>
      </c>
      <c r="C52" s="2" t="s">
        <v>150</v>
      </c>
      <c r="D52" s="2" t="s">
        <v>151</v>
      </c>
    </row>
    <row r="53" spans="1:4" ht="28.5" x14ac:dyDescent="0.25">
      <c r="A53" s="3" t="s">
        <v>152</v>
      </c>
      <c r="B53" s="2" t="s">
        <v>153</v>
      </c>
      <c r="C53" s="2" t="s">
        <v>154</v>
      </c>
      <c r="D53" s="2" t="s">
        <v>155</v>
      </c>
    </row>
    <row r="54" spans="1:4" ht="28.5" x14ac:dyDescent="0.25">
      <c r="A54" s="6" t="s">
        <v>1</v>
      </c>
      <c r="B54" s="6" t="s">
        <v>156</v>
      </c>
      <c r="C54" s="6" t="s">
        <v>157</v>
      </c>
      <c r="D54" s="6" t="s">
        <v>158</v>
      </c>
    </row>
    <row r="55" spans="1:4" x14ac:dyDescent="0.25">
      <c r="A55" s="3" t="s">
        <v>159</v>
      </c>
      <c r="B55" s="2" t="s">
        <v>160</v>
      </c>
      <c r="C55" s="2" t="s">
        <v>161</v>
      </c>
      <c r="D55" s="2" t="s">
        <v>162</v>
      </c>
    </row>
    <row r="56" spans="1:4" x14ac:dyDescent="0.25">
      <c r="A56" s="3" t="s">
        <v>163</v>
      </c>
      <c r="B56" s="2" t="s">
        <v>164</v>
      </c>
      <c r="C56" s="2" t="s">
        <v>165</v>
      </c>
      <c r="D56" s="2" t="s">
        <v>166</v>
      </c>
    </row>
    <row r="57" spans="1:4" x14ac:dyDescent="0.25">
      <c r="A57" s="3" t="s">
        <v>167</v>
      </c>
      <c r="B57" s="2" t="s">
        <v>168</v>
      </c>
      <c r="C57" s="2" t="s">
        <v>169</v>
      </c>
      <c r="D57" s="2" t="s">
        <v>170</v>
      </c>
    </row>
    <row r="58" spans="1:4" x14ac:dyDescent="0.25">
      <c r="A58" s="3" t="s">
        <v>171</v>
      </c>
      <c r="B58" s="2" t="s">
        <v>172</v>
      </c>
      <c r="C58" s="2" t="s">
        <v>173</v>
      </c>
      <c r="D58" s="2" t="s">
        <v>174</v>
      </c>
    </row>
    <row r="59" spans="1:4" x14ac:dyDescent="0.25">
      <c r="A59" s="3" t="s">
        <v>175</v>
      </c>
      <c r="B59" s="2" t="s">
        <v>176</v>
      </c>
      <c r="C59" s="2" t="s">
        <v>177</v>
      </c>
      <c r="D59" s="2" t="s">
        <v>178</v>
      </c>
    </row>
    <row r="61" spans="1:4" x14ac:dyDescent="0.25">
      <c r="A61" s="1" t="s">
        <v>1</v>
      </c>
      <c r="B61" s="1" t="s">
        <v>179</v>
      </c>
      <c r="C61" s="1" t="s">
        <v>180</v>
      </c>
      <c r="D61" s="1" t="s">
        <v>181</v>
      </c>
    </row>
    <row r="62" spans="1:4" ht="409.6" customHeight="1" x14ac:dyDescent="0.25">
      <c r="B62" s="2" t="s">
        <v>182</v>
      </c>
      <c r="C62" s="2" t="s">
        <v>183</v>
      </c>
      <c r="D62" s="2" t="s">
        <v>184</v>
      </c>
    </row>
    <row r="64" spans="1:4" x14ac:dyDescent="0.25">
      <c r="A64" s="1" t="s">
        <v>1</v>
      </c>
      <c r="B64" s="1" t="s">
        <v>185</v>
      </c>
      <c r="C64" s="1" t="s">
        <v>186</v>
      </c>
      <c r="D64" s="1" t="s">
        <v>187</v>
      </c>
    </row>
    <row r="65" spans="2:4" ht="409.6" customHeight="1" x14ac:dyDescent="0.25">
      <c r="B65" s="2" t="s">
        <v>188</v>
      </c>
      <c r="C65" s="2" t="s">
        <v>189</v>
      </c>
      <c r="D65" s="2" t="s">
        <v>190</v>
      </c>
    </row>
  </sheetData>
  <sheetProtection sheet="1" objects="1" scenarios="1" formatColumns="0" formatRows="0"/>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zoomScale="85" zoomScaleNormal="85" workbookViewId="0">
      <pane xSplit="2" ySplit="1" topLeftCell="E36" activePane="bottomRight" state="frozen"/>
      <selection pane="topRight"/>
      <selection pane="bottomLeft"/>
      <selection pane="bottomRight" activeCell="F36" sqref="F36"/>
    </sheetView>
  </sheetViews>
  <sheetFormatPr defaultRowHeight="14.25" x14ac:dyDescent="0.25"/>
  <cols>
    <col min="1" max="1" width="14" customWidth="1"/>
    <col min="2" max="2" width="9" customWidth="1"/>
    <col min="3" max="3" width="8" customWidth="1"/>
    <col min="4" max="4" width="16" customWidth="1"/>
    <col min="5" max="5" width="40.42578125" customWidth="1"/>
    <col min="6" max="6" width="127" customWidth="1"/>
    <col min="7" max="8" width="9" customWidth="1"/>
    <col min="9" max="9" width="20" customWidth="1"/>
    <col min="10" max="10" width="22" customWidth="1"/>
    <col min="11" max="11" width="14" customWidth="1"/>
    <col min="12" max="12" width="30" customWidth="1"/>
    <col min="13" max="13" width="24" customWidth="1"/>
  </cols>
  <sheetData>
    <row r="1" spans="1:13" ht="46.5" customHeight="1" x14ac:dyDescent="0.25">
      <c r="A1" s="1" t="s">
        <v>191</v>
      </c>
      <c r="B1" s="1" t="s">
        <v>192</v>
      </c>
      <c r="C1" s="1" t="s">
        <v>193</v>
      </c>
      <c r="D1" s="1" t="s">
        <v>194</v>
      </c>
      <c r="E1" s="1" t="s">
        <v>195</v>
      </c>
      <c r="F1" s="1" t="s">
        <v>196</v>
      </c>
      <c r="G1" s="1" t="s">
        <v>197</v>
      </c>
      <c r="H1" s="1" t="s">
        <v>198</v>
      </c>
      <c r="I1" s="1" t="s">
        <v>199</v>
      </c>
      <c r="J1" s="1" t="s">
        <v>200</v>
      </c>
      <c r="K1" s="1" t="s">
        <v>201</v>
      </c>
      <c r="L1" s="1" t="s">
        <v>202</v>
      </c>
      <c r="M1" s="1" t="s">
        <v>203</v>
      </c>
    </row>
    <row r="2" spans="1:13" ht="42.75" x14ac:dyDescent="0.25">
      <c r="A2" s="3" t="s">
        <v>204</v>
      </c>
      <c r="B2" s="3" t="s">
        <v>205</v>
      </c>
      <c r="C2" s="3">
        <v>1</v>
      </c>
      <c r="D2" s="3" t="s">
        <v>206</v>
      </c>
      <c r="E2" s="2" t="s">
        <v>207</v>
      </c>
      <c r="F2" s="2" t="s">
        <v>208</v>
      </c>
      <c r="G2" s="3">
        <v>9</v>
      </c>
      <c r="H2" s="3">
        <v>3</v>
      </c>
      <c r="I2" s="4" t="s">
        <v>564</v>
      </c>
      <c r="J2" s="4" t="s">
        <v>565</v>
      </c>
      <c r="K2" s="4" t="s">
        <v>566</v>
      </c>
      <c r="L2" s="3"/>
      <c r="M2" s="5"/>
    </row>
    <row r="3" spans="1:13" ht="71.25" x14ac:dyDescent="0.25">
      <c r="A3" s="3" t="s">
        <v>209</v>
      </c>
      <c r="B3" s="3" t="s">
        <v>205</v>
      </c>
      <c r="C3" s="3">
        <v>2</v>
      </c>
      <c r="D3" s="3" t="s">
        <v>210</v>
      </c>
      <c r="E3" s="2" t="s">
        <v>207</v>
      </c>
      <c r="F3" s="2" t="s">
        <v>211</v>
      </c>
      <c r="G3" s="3">
        <v>29</v>
      </c>
      <c r="H3" s="3">
        <v>5</v>
      </c>
      <c r="I3" s="4" t="s">
        <v>564</v>
      </c>
      <c r="J3" s="4" t="s">
        <v>567</v>
      </c>
      <c r="K3" s="4" t="s">
        <v>566</v>
      </c>
      <c r="L3" s="3"/>
      <c r="M3" s="5"/>
    </row>
    <row r="4" spans="1:13" ht="42.75" x14ac:dyDescent="0.25">
      <c r="A4" s="3" t="s">
        <v>212</v>
      </c>
      <c r="B4" s="3" t="s">
        <v>205</v>
      </c>
      <c r="C4" s="3">
        <v>3</v>
      </c>
      <c r="D4" s="3" t="s">
        <v>213</v>
      </c>
      <c r="E4" s="2" t="s">
        <v>207</v>
      </c>
      <c r="F4" s="2" t="s">
        <v>214</v>
      </c>
      <c r="G4" s="3">
        <v>16</v>
      </c>
      <c r="H4" s="3">
        <v>4</v>
      </c>
      <c r="I4" s="4" t="s">
        <v>564</v>
      </c>
      <c r="J4" s="4" t="s">
        <v>567</v>
      </c>
      <c r="K4" s="4" t="s">
        <v>566</v>
      </c>
      <c r="L4" s="3"/>
      <c r="M4" s="5"/>
    </row>
    <row r="5" spans="1:13" ht="42.75" x14ac:dyDescent="0.25">
      <c r="A5" s="3" t="s">
        <v>215</v>
      </c>
      <c r="B5" s="3" t="s">
        <v>205</v>
      </c>
      <c r="C5" s="3">
        <v>4</v>
      </c>
      <c r="D5" s="3" t="s">
        <v>216</v>
      </c>
      <c r="E5" s="2" t="s">
        <v>207</v>
      </c>
      <c r="F5" s="2" t="s">
        <v>217</v>
      </c>
      <c r="G5" s="3">
        <v>12</v>
      </c>
      <c r="H5" s="3">
        <v>5</v>
      </c>
      <c r="I5" s="4" t="s">
        <v>564</v>
      </c>
      <c r="J5" s="4" t="s">
        <v>567</v>
      </c>
      <c r="K5" s="4" t="s">
        <v>566</v>
      </c>
      <c r="L5" s="3"/>
      <c r="M5" s="5"/>
    </row>
    <row r="6" spans="1:13" ht="128.25" x14ac:dyDescent="0.25">
      <c r="A6" s="3" t="s">
        <v>218</v>
      </c>
      <c r="B6" s="3" t="s">
        <v>205</v>
      </c>
      <c r="C6" s="3">
        <v>5</v>
      </c>
      <c r="D6" s="3" t="s">
        <v>219</v>
      </c>
      <c r="E6" s="2" t="s">
        <v>207</v>
      </c>
      <c r="F6" s="2" t="s">
        <v>220</v>
      </c>
      <c r="G6" s="3">
        <v>28</v>
      </c>
      <c r="H6" s="3">
        <v>8</v>
      </c>
      <c r="I6" s="4" t="s">
        <v>564</v>
      </c>
      <c r="J6" s="4" t="s">
        <v>567</v>
      </c>
      <c r="K6" s="4" t="s">
        <v>566</v>
      </c>
      <c r="L6" s="3"/>
      <c r="M6" s="5"/>
    </row>
    <row r="7" spans="1:13" ht="71.25" x14ac:dyDescent="0.25">
      <c r="A7" s="3" t="s">
        <v>221</v>
      </c>
      <c r="B7" s="3" t="s">
        <v>222</v>
      </c>
      <c r="C7" s="3">
        <v>1</v>
      </c>
      <c r="D7" s="3" t="s">
        <v>206</v>
      </c>
      <c r="E7" s="2" t="s">
        <v>223</v>
      </c>
      <c r="F7" s="2" t="s">
        <v>224</v>
      </c>
      <c r="G7" s="3">
        <v>23</v>
      </c>
      <c r="H7" s="3">
        <v>2</v>
      </c>
      <c r="I7" s="4" t="s">
        <v>564</v>
      </c>
      <c r="J7" s="4" t="s">
        <v>567</v>
      </c>
      <c r="K7" s="4" t="s">
        <v>566</v>
      </c>
      <c r="L7" s="3"/>
      <c r="M7" s="5"/>
    </row>
    <row r="8" spans="1:13" ht="71.25" x14ac:dyDescent="0.25">
      <c r="A8" s="3" t="s">
        <v>225</v>
      </c>
      <c r="B8" s="3" t="s">
        <v>222</v>
      </c>
      <c r="C8" s="3">
        <v>2</v>
      </c>
      <c r="D8" s="3" t="s">
        <v>210</v>
      </c>
      <c r="E8" s="2" t="s">
        <v>223</v>
      </c>
      <c r="F8" s="2" t="s">
        <v>226</v>
      </c>
      <c r="G8" s="3">
        <v>29</v>
      </c>
      <c r="H8" s="3">
        <v>4</v>
      </c>
      <c r="I8" s="4" t="s">
        <v>568</v>
      </c>
      <c r="J8" s="4" t="s">
        <v>567</v>
      </c>
      <c r="K8" s="4" t="s">
        <v>566</v>
      </c>
      <c r="L8" s="3"/>
      <c r="M8" s="5"/>
    </row>
    <row r="9" spans="1:13" ht="71.25" x14ac:dyDescent="0.25">
      <c r="A9" s="3" t="s">
        <v>227</v>
      </c>
      <c r="B9" s="3" t="s">
        <v>222</v>
      </c>
      <c r="C9" s="3">
        <v>3</v>
      </c>
      <c r="D9" s="3" t="s">
        <v>213</v>
      </c>
      <c r="E9" s="2" t="s">
        <v>223</v>
      </c>
      <c r="F9" s="2" t="s">
        <v>228</v>
      </c>
      <c r="G9" s="3">
        <v>42</v>
      </c>
      <c r="H9" s="3">
        <v>3</v>
      </c>
      <c r="I9" s="4" t="s">
        <v>564</v>
      </c>
      <c r="J9" s="4" t="s">
        <v>567</v>
      </c>
      <c r="K9" s="4" t="s">
        <v>566</v>
      </c>
      <c r="L9" s="3"/>
      <c r="M9" s="5"/>
    </row>
    <row r="10" spans="1:13" ht="71.25" x14ac:dyDescent="0.25">
      <c r="A10" s="3" t="s">
        <v>229</v>
      </c>
      <c r="B10" s="3" t="s">
        <v>222</v>
      </c>
      <c r="C10" s="3">
        <v>4</v>
      </c>
      <c r="D10" s="3" t="s">
        <v>216</v>
      </c>
      <c r="E10" s="2" t="s">
        <v>223</v>
      </c>
      <c r="F10" s="2" t="s">
        <v>230</v>
      </c>
      <c r="G10" s="3">
        <v>14</v>
      </c>
      <c r="H10" s="3">
        <v>2</v>
      </c>
      <c r="I10" s="4" t="s">
        <v>564</v>
      </c>
      <c r="J10" s="4" t="s">
        <v>567</v>
      </c>
      <c r="K10" s="4" t="s">
        <v>566</v>
      </c>
      <c r="L10" s="3"/>
      <c r="M10" s="5"/>
    </row>
    <row r="11" spans="1:13" ht="71.25" x14ac:dyDescent="0.25">
      <c r="A11" s="3" t="s">
        <v>231</v>
      </c>
      <c r="B11" s="3" t="s">
        <v>222</v>
      </c>
      <c r="C11" s="3">
        <v>5</v>
      </c>
      <c r="D11" s="3" t="s">
        <v>219</v>
      </c>
      <c r="E11" s="2" t="s">
        <v>223</v>
      </c>
      <c r="F11" s="2" t="s">
        <v>232</v>
      </c>
      <c r="G11" s="3">
        <v>2</v>
      </c>
      <c r="H11" s="3">
        <v>1</v>
      </c>
      <c r="I11" s="4" t="s">
        <v>568</v>
      </c>
      <c r="J11" s="4" t="s">
        <v>565</v>
      </c>
      <c r="K11" s="4" t="s">
        <v>566</v>
      </c>
      <c r="L11" s="3"/>
      <c r="M11" s="5"/>
    </row>
    <row r="12" spans="1:13" ht="42.75" x14ac:dyDescent="0.25">
      <c r="A12" s="3" t="s">
        <v>233</v>
      </c>
      <c r="B12" s="3" t="s">
        <v>234</v>
      </c>
      <c r="C12" s="3">
        <v>1</v>
      </c>
      <c r="D12" s="3" t="s">
        <v>206</v>
      </c>
      <c r="E12" s="2" t="s">
        <v>235</v>
      </c>
      <c r="F12" s="2" t="s">
        <v>236</v>
      </c>
      <c r="G12" s="3">
        <v>10</v>
      </c>
      <c r="H12" s="3">
        <v>2</v>
      </c>
      <c r="I12" s="4" t="s">
        <v>564</v>
      </c>
      <c r="J12" s="4" t="s">
        <v>567</v>
      </c>
      <c r="K12" s="4" t="s">
        <v>566</v>
      </c>
      <c r="L12" s="3"/>
      <c r="M12" s="5"/>
    </row>
    <row r="13" spans="1:13" ht="57" x14ac:dyDescent="0.25">
      <c r="A13" s="3" t="s">
        <v>237</v>
      </c>
      <c r="B13" s="3" t="s">
        <v>234</v>
      </c>
      <c r="C13" s="3">
        <v>2</v>
      </c>
      <c r="D13" s="3" t="s">
        <v>210</v>
      </c>
      <c r="E13" s="2" t="s">
        <v>235</v>
      </c>
      <c r="F13" s="2" t="s">
        <v>238</v>
      </c>
      <c r="G13" s="3">
        <v>33</v>
      </c>
      <c r="H13" s="3">
        <v>5</v>
      </c>
      <c r="I13" s="4" t="s">
        <v>564</v>
      </c>
      <c r="J13" s="4" t="s">
        <v>567</v>
      </c>
      <c r="K13" s="4" t="s">
        <v>566</v>
      </c>
      <c r="L13" s="3"/>
      <c r="M13" s="5"/>
    </row>
    <row r="14" spans="1:13" ht="57" x14ac:dyDescent="0.25">
      <c r="A14" s="3" t="s">
        <v>239</v>
      </c>
      <c r="B14" s="3" t="s">
        <v>234</v>
      </c>
      <c r="C14" s="3">
        <v>3</v>
      </c>
      <c r="D14" s="3" t="s">
        <v>213</v>
      </c>
      <c r="E14" s="2" t="s">
        <v>235</v>
      </c>
      <c r="F14" s="2" t="s">
        <v>240</v>
      </c>
      <c r="G14" s="3">
        <v>32</v>
      </c>
      <c r="H14" s="3">
        <v>4</v>
      </c>
      <c r="I14" s="4" t="s">
        <v>564</v>
      </c>
      <c r="J14" s="4" t="s">
        <v>567</v>
      </c>
      <c r="K14" s="4" t="s">
        <v>566</v>
      </c>
      <c r="L14" s="3"/>
      <c r="M14" s="5"/>
    </row>
    <row r="15" spans="1:13" ht="42.75" x14ac:dyDescent="0.25">
      <c r="A15" s="3" t="s">
        <v>241</v>
      </c>
      <c r="B15" s="3" t="s">
        <v>234</v>
      </c>
      <c r="C15" s="3">
        <v>4</v>
      </c>
      <c r="D15" s="3" t="s">
        <v>216</v>
      </c>
      <c r="E15" s="2" t="s">
        <v>235</v>
      </c>
      <c r="F15" s="2" t="s">
        <v>242</v>
      </c>
      <c r="G15" s="3">
        <v>17</v>
      </c>
      <c r="H15" s="3">
        <v>3</v>
      </c>
      <c r="I15" s="4" t="s">
        <v>568</v>
      </c>
      <c r="J15" s="4" t="s">
        <v>567</v>
      </c>
      <c r="K15" s="4" t="s">
        <v>566</v>
      </c>
      <c r="L15" s="3"/>
      <c r="M15" s="5"/>
    </row>
    <row r="16" spans="1:13" ht="42.75" x14ac:dyDescent="0.25">
      <c r="A16" s="3" t="s">
        <v>243</v>
      </c>
      <c r="B16" s="3" t="s">
        <v>234</v>
      </c>
      <c r="C16" s="3">
        <v>5</v>
      </c>
      <c r="D16" s="3" t="s">
        <v>219</v>
      </c>
      <c r="E16" s="2" t="s">
        <v>235</v>
      </c>
      <c r="F16" s="2" t="s">
        <v>244</v>
      </c>
      <c r="G16" s="3">
        <v>3</v>
      </c>
      <c r="H16" s="3">
        <v>2</v>
      </c>
      <c r="I16" s="4" t="s">
        <v>564</v>
      </c>
      <c r="J16" s="4" t="s">
        <v>567</v>
      </c>
      <c r="K16" s="4" t="s">
        <v>566</v>
      </c>
      <c r="L16" s="3"/>
      <c r="M16" s="5"/>
    </row>
    <row r="17" spans="1:13" ht="384.75" x14ac:dyDescent="0.25">
      <c r="A17" s="3" t="s">
        <v>245</v>
      </c>
      <c r="B17" s="3" t="s">
        <v>246</v>
      </c>
      <c r="C17" s="3">
        <v>1</v>
      </c>
      <c r="D17" s="3" t="s">
        <v>206</v>
      </c>
      <c r="E17" s="2" t="s">
        <v>247</v>
      </c>
      <c r="F17" s="2" t="s">
        <v>248</v>
      </c>
      <c r="G17" s="3">
        <v>60</v>
      </c>
      <c r="H17" s="3">
        <v>11</v>
      </c>
      <c r="I17" s="4" t="s">
        <v>568</v>
      </c>
      <c r="J17" s="4" t="s">
        <v>567</v>
      </c>
      <c r="K17" s="4" t="s">
        <v>566</v>
      </c>
      <c r="L17" s="3"/>
      <c r="M17" s="5"/>
    </row>
    <row r="18" spans="1:13" ht="384.75" x14ac:dyDescent="0.25">
      <c r="A18" s="3" t="s">
        <v>249</v>
      </c>
      <c r="B18" s="3" t="s">
        <v>246</v>
      </c>
      <c r="C18" s="3">
        <v>2</v>
      </c>
      <c r="D18" s="3" t="s">
        <v>210</v>
      </c>
      <c r="E18" s="2" t="s">
        <v>247</v>
      </c>
      <c r="F18" s="2" t="s">
        <v>250</v>
      </c>
      <c r="G18" s="3">
        <v>119</v>
      </c>
      <c r="H18" s="3">
        <v>21</v>
      </c>
      <c r="I18" s="4" t="s">
        <v>568</v>
      </c>
      <c r="J18" s="4" t="s">
        <v>567</v>
      </c>
      <c r="K18" s="4" t="s">
        <v>566</v>
      </c>
      <c r="L18" s="3"/>
      <c r="M18" s="5"/>
    </row>
    <row r="19" spans="1:13" ht="384.75" x14ac:dyDescent="0.25">
      <c r="A19" s="3" t="s">
        <v>251</v>
      </c>
      <c r="B19" s="3" t="s">
        <v>246</v>
      </c>
      <c r="C19" s="3">
        <v>3</v>
      </c>
      <c r="D19" s="3" t="s">
        <v>213</v>
      </c>
      <c r="E19" s="2" t="s">
        <v>247</v>
      </c>
      <c r="F19" s="2" t="s">
        <v>252</v>
      </c>
      <c r="G19" s="3">
        <v>67</v>
      </c>
      <c r="H19" s="3">
        <v>12</v>
      </c>
      <c r="I19" s="4" t="s">
        <v>568</v>
      </c>
      <c r="J19" s="4" t="s">
        <v>567</v>
      </c>
      <c r="K19" s="4" t="s">
        <v>566</v>
      </c>
      <c r="L19" s="3"/>
      <c r="M19" s="5"/>
    </row>
    <row r="20" spans="1:13" ht="384.75" x14ac:dyDescent="0.25">
      <c r="A20" s="3" t="s">
        <v>253</v>
      </c>
      <c r="B20" s="3" t="s">
        <v>246</v>
      </c>
      <c r="C20" s="3">
        <v>4</v>
      </c>
      <c r="D20" s="3" t="s">
        <v>216</v>
      </c>
      <c r="E20" s="2" t="s">
        <v>247</v>
      </c>
      <c r="F20" s="2" t="s">
        <v>254</v>
      </c>
      <c r="G20" s="3">
        <v>64</v>
      </c>
      <c r="H20" s="3">
        <v>12</v>
      </c>
      <c r="I20" s="4" t="s">
        <v>568</v>
      </c>
      <c r="J20" s="4" t="s">
        <v>567</v>
      </c>
      <c r="K20" s="4" t="s">
        <v>566</v>
      </c>
      <c r="L20" s="3"/>
      <c r="M20" s="5"/>
    </row>
    <row r="21" spans="1:13" ht="384.75" x14ac:dyDescent="0.25">
      <c r="A21" s="3" t="s">
        <v>255</v>
      </c>
      <c r="B21" s="3" t="s">
        <v>246</v>
      </c>
      <c r="C21" s="3">
        <v>5</v>
      </c>
      <c r="D21" s="3" t="s">
        <v>219</v>
      </c>
      <c r="E21" s="2" t="s">
        <v>247</v>
      </c>
      <c r="F21" s="2" t="s">
        <v>256</v>
      </c>
      <c r="G21" s="3">
        <v>64</v>
      </c>
      <c r="H21" s="3">
        <v>12</v>
      </c>
      <c r="I21" s="4" t="s">
        <v>564</v>
      </c>
      <c r="J21" s="4" t="s">
        <v>567</v>
      </c>
      <c r="K21" s="4" t="s">
        <v>566</v>
      </c>
      <c r="L21" s="3"/>
      <c r="M21" s="5"/>
    </row>
    <row r="22" spans="1:13" ht="384.75" x14ac:dyDescent="0.25">
      <c r="A22" s="3" t="s">
        <v>257</v>
      </c>
      <c r="B22" s="3" t="s">
        <v>258</v>
      </c>
      <c r="C22" s="3">
        <v>1</v>
      </c>
      <c r="D22" s="3" t="s">
        <v>206</v>
      </c>
      <c r="E22" s="2" t="s">
        <v>259</v>
      </c>
      <c r="F22" s="2" t="s">
        <v>260</v>
      </c>
      <c r="G22" s="3">
        <v>53</v>
      </c>
      <c r="H22" s="3">
        <v>11</v>
      </c>
      <c r="I22" s="4" t="s">
        <v>564</v>
      </c>
      <c r="J22" s="4" t="s">
        <v>567</v>
      </c>
      <c r="K22" s="4" t="s">
        <v>566</v>
      </c>
      <c r="L22" s="3"/>
      <c r="M22" s="5" t="inlineStr">
        <is>
          <t>Olumsuz-koşullu yapıyı aktarmadı.</t>
        </is>
      </c>
    </row>
    <row r="23" spans="1:13" ht="384.75" x14ac:dyDescent="0.25">
      <c r="A23" s="3" t="s">
        <v>261</v>
      </c>
      <c r="B23" s="3" t="s">
        <v>258</v>
      </c>
      <c r="C23" s="3">
        <v>2</v>
      </c>
      <c r="D23" s="3" t="s">
        <v>210</v>
      </c>
      <c r="E23" s="2" t="s">
        <v>259</v>
      </c>
      <c r="F23" s="2" t="s">
        <v>262</v>
      </c>
      <c r="G23" s="3">
        <v>113</v>
      </c>
      <c r="H23" s="3">
        <v>17</v>
      </c>
      <c r="I23" s="4" t="s">
        <v>564</v>
      </c>
      <c r="J23" s="4" t="s">
        <v>567</v>
      </c>
      <c r="K23" s="4" t="s">
        <v>566</v>
      </c>
      <c r="L23" s="3"/>
      <c r="M23" s="5" t="inlineStr">
        <is>
          <t>Olumsuz-koşullu yapıyı aktardı.</t>
        </is>
      </c>
    </row>
    <row r="24" spans="1:13" ht="384.75" x14ac:dyDescent="0.25">
      <c r="A24" s="3" t="s">
        <v>263</v>
      </c>
      <c r="B24" s="3" t="s">
        <v>258</v>
      </c>
      <c r="C24" s="3">
        <v>3</v>
      </c>
      <c r="D24" s="3" t="s">
        <v>213</v>
      </c>
      <c r="E24" s="2" t="s">
        <v>259</v>
      </c>
      <c r="F24" s="2" t="s">
        <v>264</v>
      </c>
      <c r="G24" s="3">
        <v>59</v>
      </c>
      <c r="H24" s="3">
        <v>12</v>
      </c>
      <c r="I24" s="4" t="s">
        <v>564</v>
      </c>
      <c r="J24" s="4" t="s">
        <v>567</v>
      </c>
      <c r="K24" s="4" t="s">
        <v>566</v>
      </c>
      <c r="L24" s="3"/>
      <c r="M24" s="5" t="inlineStr">
        <is>
          <t>Olumsuz-koşullu yapıyı aktardı.</t>
        </is>
      </c>
    </row>
    <row r="25" spans="1:13" ht="384.75" x14ac:dyDescent="0.25">
      <c r="A25" s="3" t="s">
        <v>265</v>
      </c>
      <c r="B25" s="3" t="s">
        <v>258</v>
      </c>
      <c r="C25" s="3">
        <v>4</v>
      </c>
      <c r="D25" s="3" t="s">
        <v>216</v>
      </c>
      <c r="E25" s="2" t="s">
        <v>259</v>
      </c>
      <c r="F25" s="2" t="s">
        <v>266</v>
      </c>
      <c r="G25" s="3">
        <v>58</v>
      </c>
      <c r="H25" s="3">
        <v>12</v>
      </c>
      <c r="I25" s="4" t="s">
        <v>564</v>
      </c>
      <c r="J25" s="4" t="s">
        <v>567</v>
      </c>
      <c r="K25" s="4" t="s">
        <v>566</v>
      </c>
      <c r="L25" s="3"/>
      <c r="M25" s="5" t="inlineStr">
        <is>
          <t>Olumsuz-koşullu yapıyı aktardı.</t>
        </is>
      </c>
    </row>
    <row r="26" spans="1:13" ht="384.75" x14ac:dyDescent="0.25">
      <c r="A26" s="3" t="s">
        <v>267</v>
      </c>
      <c r="B26" s="3" t="s">
        <v>258</v>
      </c>
      <c r="C26" s="3">
        <v>5</v>
      </c>
      <c r="D26" s="3" t="s">
        <v>219</v>
      </c>
      <c r="E26" s="2" t="s">
        <v>259</v>
      </c>
      <c r="F26" s="2" t="s">
        <v>268</v>
      </c>
      <c r="G26" s="3">
        <v>56</v>
      </c>
      <c r="H26" s="3">
        <v>12</v>
      </c>
      <c r="I26" s="4" t="s">
        <v>564</v>
      </c>
      <c r="J26" s="4" t="s">
        <v>567</v>
      </c>
      <c r="K26" s="4" t="s">
        <v>566</v>
      </c>
      <c r="L26" s="3"/>
      <c r="M26" s="5" t="inlineStr">
        <is>
          <t>Olumsuz-koşullu yapıyı aktardı.</t>
        </is>
      </c>
    </row>
    <row r="27" spans="1:13" ht="71.25" x14ac:dyDescent="0.25">
      <c r="A27" s="3" t="s">
        <v>269</v>
      </c>
      <c r="B27" s="3" t="s">
        <v>270</v>
      </c>
      <c r="C27" s="3">
        <v>1</v>
      </c>
      <c r="D27" s="3" t="s">
        <v>206</v>
      </c>
      <c r="E27" s="2" t="s">
        <v>271</v>
      </c>
      <c r="F27" s="2" t="s">
        <v>272</v>
      </c>
      <c r="G27" s="3">
        <v>20</v>
      </c>
      <c r="H27" s="3">
        <v>2</v>
      </c>
      <c r="I27" s="4" t="s">
        <v>564</v>
      </c>
      <c r="J27" s="4" t="s">
        <v>567</v>
      </c>
      <c r="K27" s="4" t="s">
        <v>566</v>
      </c>
      <c r="L27" s="3"/>
      <c r="M27" s="5"/>
    </row>
    <row r="28" spans="1:13" ht="99.75" x14ac:dyDescent="0.25">
      <c r="A28" s="3" t="s">
        <v>273</v>
      </c>
      <c r="B28" s="3" t="s">
        <v>270</v>
      </c>
      <c r="C28" s="3">
        <v>2</v>
      </c>
      <c r="D28" s="3" t="s">
        <v>210</v>
      </c>
      <c r="E28" s="2" t="s">
        <v>271</v>
      </c>
      <c r="F28" s="2" t="s">
        <v>274</v>
      </c>
      <c r="G28" s="3">
        <v>66</v>
      </c>
      <c r="H28" s="3">
        <v>4</v>
      </c>
      <c r="I28" s="4" t="s">
        <v>564</v>
      </c>
      <c r="J28" s="4" t="s">
        <v>567</v>
      </c>
      <c r="K28" s="4" t="s">
        <v>566</v>
      </c>
      <c r="L28" s="3"/>
      <c r="M28" s="5"/>
    </row>
    <row r="29" spans="1:13" ht="71.25" x14ac:dyDescent="0.25">
      <c r="A29" s="3" t="s">
        <v>275</v>
      </c>
      <c r="B29" s="3" t="s">
        <v>270</v>
      </c>
      <c r="C29" s="3">
        <v>3</v>
      </c>
      <c r="D29" s="3" t="s">
        <v>213</v>
      </c>
      <c r="E29" s="2" t="s">
        <v>271</v>
      </c>
      <c r="F29" s="2" t="s">
        <v>276</v>
      </c>
      <c r="G29" s="3">
        <v>27</v>
      </c>
      <c r="H29" s="3">
        <v>3</v>
      </c>
      <c r="I29" s="4" t="s">
        <v>564</v>
      </c>
      <c r="J29" s="4" t="s">
        <v>567</v>
      </c>
      <c r="K29" s="4" t="s">
        <v>566</v>
      </c>
      <c r="L29" s="3"/>
      <c r="M29" s="5"/>
    </row>
    <row r="30" spans="1:13" ht="71.25" x14ac:dyDescent="0.25">
      <c r="A30" s="3" t="s">
        <v>277</v>
      </c>
      <c r="B30" s="3" t="s">
        <v>270</v>
      </c>
      <c r="C30" s="3">
        <v>4</v>
      </c>
      <c r="D30" s="3" t="s">
        <v>216</v>
      </c>
      <c r="E30" s="2" t="s">
        <v>271</v>
      </c>
      <c r="F30" s="2" t="s">
        <v>278</v>
      </c>
      <c r="G30" s="3">
        <v>37</v>
      </c>
      <c r="H30" s="3">
        <v>2</v>
      </c>
      <c r="I30" s="4" t="s">
        <v>564</v>
      </c>
      <c r="J30" s="4" t="s">
        <v>567</v>
      </c>
      <c r="K30" s="4" t="s">
        <v>566</v>
      </c>
      <c r="L30" s="3"/>
      <c r="M30" s="5"/>
    </row>
    <row r="31" spans="1:13" ht="71.25" x14ac:dyDescent="0.25">
      <c r="A31" s="3" t="s">
        <v>279</v>
      </c>
      <c r="B31" s="3" t="s">
        <v>270</v>
      </c>
      <c r="C31" s="3">
        <v>5</v>
      </c>
      <c r="D31" s="3" t="s">
        <v>219</v>
      </c>
      <c r="E31" s="2" t="s">
        <v>271</v>
      </c>
      <c r="F31" s="2" t="s">
        <v>280</v>
      </c>
      <c r="G31" s="3">
        <v>2</v>
      </c>
      <c r="H31" s="3">
        <v>1</v>
      </c>
      <c r="I31" s="4" t="s">
        <v>564</v>
      </c>
      <c r="J31" s="4" t="s">
        <v>565</v>
      </c>
      <c r="K31" s="4" t="s">
        <v>566</v>
      </c>
      <c r="L31" s="3"/>
      <c r="M31" s="5"/>
    </row>
    <row r="32" spans="1:13" ht="71.25" x14ac:dyDescent="0.25">
      <c r="A32" s="3" t="s">
        <v>281</v>
      </c>
      <c r="B32" s="3" t="s">
        <v>282</v>
      </c>
      <c r="C32" s="3">
        <v>1</v>
      </c>
      <c r="D32" s="3" t="s">
        <v>206</v>
      </c>
      <c r="E32" s="2" t="s">
        <v>283</v>
      </c>
      <c r="F32" s="2" t="s">
        <v>284</v>
      </c>
      <c r="G32" s="3">
        <v>25</v>
      </c>
      <c r="H32" s="3">
        <v>2</v>
      </c>
      <c r="I32" s="4" t="s">
        <v>564</v>
      </c>
      <c r="J32" s="4" t="s">
        <v>565</v>
      </c>
      <c r="K32" s="4" t="s">
        <v>566</v>
      </c>
      <c r="L32" s="4" t="s">
        <v>571</v>
      </c>
      <c r="M32" s="5" t="s">
        <v>579</v>
      </c>
    </row>
    <row r="33" spans="1:13" ht="285" x14ac:dyDescent="0.25">
      <c r="A33" s="3" t="s">
        <v>285</v>
      </c>
      <c r="B33" s="3" t="s">
        <v>282</v>
      </c>
      <c r="C33" s="3">
        <v>2</v>
      </c>
      <c r="D33" s="3" t="s">
        <v>210</v>
      </c>
      <c r="E33" s="2" t="s">
        <v>283</v>
      </c>
      <c r="F33" s="2" t="s">
        <v>286</v>
      </c>
      <c r="G33" s="3">
        <v>121</v>
      </c>
      <c r="H33" s="3">
        <v>20</v>
      </c>
      <c r="I33" s="4" t="s">
        <v>564</v>
      </c>
      <c r="J33" s="4" t="s">
        <v>567</v>
      </c>
      <c r="K33" s="4" t="s">
        <v>566</v>
      </c>
      <c r="L33" s="4" t="s">
        <v>571</v>
      </c>
      <c r="M33" s="5" t="s">
        <v>574</v>
      </c>
    </row>
    <row r="34" spans="1:13" ht="370.5" x14ac:dyDescent="0.25">
      <c r="A34" s="3" t="s">
        <v>287</v>
      </c>
      <c r="B34" s="3" t="s">
        <v>282</v>
      </c>
      <c r="C34" s="3">
        <v>3</v>
      </c>
      <c r="D34" s="3" t="s">
        <v>213</v>
      </c>
      <c r="E34" s="2" t="s">
        <v>283</v>
      </c>
      <c r="F34" s="2" t="s">
        <v>288</v>
      </c>
      <c r="G34" s="3">
        <v>99</v>
      </c>
      <c r="H34" s="3">
        <v>12</v>
      </c>
      <c r="I34" s="4" t="s">
        <v>564</v>
      </c>
      <c r="J34" s="4" t="s">
        <v>567</v>
      </c>
      <c r="K34" s="4" t="s">
        <v>566</v>
      </c>
      <c r="L34" s="4" t="s">
        <v>571</v>
      </c>
      <c r="M34" s="5" t="s">
        <v>574</v>
      </c>
    </row>
    <row r="35" spans="1:13" ht="270.75" x14ac:dyDescent="0.25">
      <c r="A35" s="3" t="s">
        <v>289</v>
      </c>
      <c r="B35" s="3" t="s">
        <v>282</v>
      </c>
      <c r="C35" s="3">
        <v>4</v>
      </c>
      <c r="D35" s="3" t="s">
        <v>216</v>
      </c>
      <c r="E35" s="2" t="s">
        <v>283</v>
      </c>
      <c r="F35" s="2" t="s">
        <v>290</v>
      </c>
      <c r="G35" s="3">
        <v>108</v>
      </c>
      <c r="H35" s="3">
        <v>16</v>
      </c>
      <c r="I35" s="4" t="s">
        <v>564</v>
      </c>
      <c r="J35" s="4" t="s">
        <v>567</v>
      </c>
      <c r="K35" s="4" t="s">
        <v>566</v>
      </c>
      <c r="L35" s="4" t="s">
        <v>571</v>
      </c>
      <c r="M35" s="5" t="s">
        <v>574</v>
      </c>
    </row>
    <row r="36" spans="1:13" ht="409.5" x14ac:dyDescent="0.25">
      <c r="A36" s="3" t="s">
        <v>291</v>
      </c>
      <c r="B36" s="3" t="s">
        <v>282</v>
      </c>
      <c r="C36" s="3">
        <v>5</v>
      </c>
      <c r="D36" s="3" t="s">
        <v>219</v>
      </c>
      <c r="E36" s="2" t="s">
        <v>283</v>
      </c>
      <c r="F36" s="2" t="s">
        <v>292</v>
      </c>
      <c r="G36" s="3">
        <v>83</v>
      </c>
      <c r="H36" s="3">
        <v>13</v>
      </c>
      <c r="I36" s="4" t="s">
        <v>564</v>
      </c>
      <c r="J36" s="4" t="s">
        <v>565</v>
      </c>
      <c r="K36" s="4" t="s">
        <v>566</v>
      </c>
      <c r="L36" s="4" t="s">
        <v>571</v>
      </c>
      <c r="M36" s="5" t="s">
        <v>574</v>
      </c>
    </row>
  </sheetData>
  <sheetProtection sheet="1" objects="1" scenarios="1" formatColumns="0" formatRows="0"/>
  <dataValidations count="4">
    <dataValidation type="list" allowBlank="1" showErrorMessage="1" sqref="I2:I36" xr:uid="{00000000-0002-0000-0100-000000000000}">
      <formula1>"tam / полное,kısmen / частичное,uyum yok / нет"</formula1>
    </dataValidation>
    <dataValidation type="list" allowBlank="1" showErrorMessage="1" sqref="J2:J36" xr:uid="{00000000-0002-0000-0100-000001000000}">
      <formula1>"karşıladı / отвечает,kısmen karşıladı / частично,alakasız / не по теме"</formula1>
    </dataValidation>
    <dataValidation type="list" allowBlank="1" showErrorMessage="1" sqref="K2:K36" xr:uid="{00000000-0002-0000-0100-000002000000}">
      <formula1>"evet / да,hayır / нет"</formula1>
    </dataValidation>
    <dataValidation type="list" allowBlank="1" showErrorMessage="1" sqref="L32:L36" xr:uid="{00000000-0002-0000-0100-000003000000}">
      <formula1>"iki metni de işlemiştir / обработал оба текста,metinleri hizalamamıştır / не сопоставил тексты,olmayan bir fark uydurmuştur (halüsinasyon) / придумал несуществующее различие (галлюцинация)"</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61"/>
  <sheetViews>
    <sheetView tabSelected="1" zoomScale="145" zoomScaleNormal="145" workbookViewId="0">
      <pane xSplit="6" ySplit="1" topLeftCell="G47" activePane="bottomRight" state="frozen"/>
      <selection pane="topRight"/>
      <selection pane="bottomLeft"/>
      <selection pane="bottomRight" activeCell="E47" sqref="E47"/>
    </sheetView>
  </sheetViews>
  <sheetFormatPr defaultRowHeight="14.25" x14ac:dyDescent="0.25"/>
  <cols>
    <col min="1" max="1" width="14" customWidth="1"/>
    <col min="2" max="2" width="9" customWidth="1"/>
    <col min="3" max="3" width="8" customWidth="1"/>
    <col min="4" max="4" width="9" customWidth="1"/>
    <col min="5" max="5" width="50" customWidth="1"/>
    <col min="6" max="6" width="9" customWidth="1"/>
    <col min="7" max="7" width="20" customWidth="1"/>
    <col min="8" max="11" width="9" customWidth="1"/>
    <col min="12" max="13" width="11" customWidth="1"/>
    <col min="14" max="17" width="7" customWidth="1"/>
    <col min="18" max="18" width="9" customWidth="1"/>
    <col min="19" max="19" width="14" customWidth="1"/>
    <col min="20" max="20" width="20" customWidth="1"/>
  </cols>
  <sheetData>
    <row r="1" spans="1:20" ht="135" customHeight="1" x14ac:dyDescent="0.25">
      <c r="A1" s="1" t="s">
        <v>191</v>
      </c>
      <c r="B1" s="1" t="s">
        <v>192</v>
      </c>
      <c r="C1" s="1" t="s">
        <v>193</v>
      </c>
      <c r="D1" s="1" t="s">
        <v>293</v>
      </c>
      <c r="E1" s="1" t="s">
        <v>294</v>
      </c>
      <c r="F1" s="1" t="s">
        <v>197</v>
      </c>
      <c r="G1" s="1" t="s">
        <v>295</v>
      </c>
      <c r="H1" s="1" t="s">
        <v>296</v>
      </c>
      <c r="I1" s="1" t="s">
        <v>297</v>
      </c>
      <c r="J1" s="1" t="s">
        <v>298</v>
      </c>
      <c r="K1" s="1" t="s">
        <v>299</v>
      </c>
      <c r="L1" s="1" t="s">
        <v>300</v>
      </c>
      <c r="M1" s="1" t="s">
        <v>301</v>
      </c>
      <c r="N1" s="1" t="s">
        <v>302</v>
      </c>
      <c r="O1" s="1" t="s">
        <v>303</v>
      </c>
      <c r="P1" s="1" t="s">
        <v>304</v>
      </c>
      <c r="Q1" s="1" t="s">
        <v>305</v>
      </c>
      <c r="R1" s="1" t="s">
        <v>306</v>
      </c>
      <c r="S1" s="1" t="s">
        <v>307</v>
      </c>
      <c r="T1" s="1" t="s">
        <v>203</v>
      </c>
    </row>
    <row r="2" spans="1:20" x14ac:dyDescent="0.25">
      <c r="A2" s="3" t="s">
        <v>204</v>
      </c>
      <c r="B2" s="3" t="s">
        <v>205</v>
      </c>
      <c r="C2" s="3">
        <v>1</v>
      </c>
      <c r="D2" s="3">
        <v>1</v>
      </c>
      <c r="E2" s="2" t="s">
        <v>308</v>
      </c>
      <c r="F2" s="3">
        <v>2</v>
      </c>
      <c r="G2" s="4" t="s">
        <v>572</v>
      </c>
      <c r="H2" s="4"/>
      <c r="I2" s="4"/>
      <c r="J2" s="4"/>
      <c r="K2" s="4"/>
      <c r="L2" s="3">
        <f t="shared" ref="L2:L65" si="0">F2-(H2+I2+J2+K2)</f>
        <v>2</v>
      </c>
      <c r="M2" s="4"/>
      <c r="N2" s="4"/>
      <c r="O2" s="4"/>
      <c r="P2" s="4"/>
      <c r="Q2" s="4"/>
      <c r="R2" s="4"/>
      <c r="S2" s="3">
        <f t="shared" ref="S2:S65" si="1">N2+O2+P2+Q2+R2</f>
        <v>0</v>
      </c>
      <c r="T2" s="5"/>
    </row>
    <row r="3" spans="1:20" ht="28.5" x14ac:dyDescent="0.25">
      <c r="A3" s="3" t="s">
        <v>204</v>
      </c>
      <c r="B3" s="3" t="s">
        <v>205</v>
      </c>
      <c r="C3" s="3">
        <v>1</v>
      </c>
      <c r="D3" s="3">
        <v>2</v>
      </c>
      <c r="E3" s="2" t="s">
        <v>309</v>
      </c>
      <c r="F3" s="3">
        <v>3</v>
      </c>
      <c r="G3" s="4" t="s">
        <v>573</v>
      </c>
      <c r="H3" s="4">
        <v>1</v>
      </c>
      <c r="I3" s="4"/>
      <c r="J3" s="4">
        <v>1</v>
      </c>
      <c r="K3" s="4"/>
      <c r="L3" s="3">
        <f t="shared" si="0"/>
        <v>1</v>
      </c>
      <c r="M3" s="4"/>
      <c r="N3" s="4"/>
      <c r="O3" s="4"/>
      <c r="P3" s="4"/>
      <c r="Q3" s="4"/>
      <c r="R3" s="4"/>
      <c r="S3" s="3">
        <f t="shared" si="1"/>
        <v>0</v>
      </c>
      <c r="T3" s="5"/>
    </row>
    <row r="4" spans="1:20" ht="28.5" x14ac:dyDescent="0.25">
      <c r="A4" s="3" t="s">
        <v>204</v>
      </c>
      <c r="B4" s="3" t="s">
        <v>205</v>
      </c>
      <c r="C4" s="3">
        <v>1</v>
      </c>
      <c r="D4" s="3">
        <v>3</v>
      </c>
      <c r="E4" s="2" t="s">
        <v>310</v>
      </c>
      <c r="F4" s="3">
        <v>4</v>
      </c>
      <c r="G4" s="4" t="s">
        <v>573</v>
      </c>
      <c r="H4" s="4"/>
      <c r="I4" s="4">
        <v>2</v>
      </c>
      <c r="J4" s="4"/>
      <c r="K4" s="4"/>
      <c r="L4" s="3">
        <f t="shared" si="0"/>
        <v>2</v>
      </c>
      <c r="M4" s="4"/>
      <c r="N4" s="4"/>
      <c r="O4" s="4"/>
      <c r="P4" s="4"/>
      <c r="Q4" s="4"/>
      <c r="R4" s="4"/>
      <c r="S4" s="3">
        <f t="shared" si="1"/>
        <v>0</v>
      </c>
      <c r="T4" s="5"/>
    </row>
    <row r="5" spans="1:20" x14ac:dyDescent="0.25">
      <c r="A5" s="3" t="s">
        <v>209</v>
      </c>
      <c r="B5" s="3" t="s">
        <v>205</v>
      </c>
      <c r="C5" s="3">
        <v>2</v>
      </c>
      <c r="D5" s="3">
        <v>1</v>
      </c>
      <c r="E5" s="2" t="s">
        <v>308</v>
      </c>
      <c r="F5" s="3">
        <v>2</v>
      </c>
      <c r="G5" s="4" t="s">
        <v>572</v>
      </c>
      <c r="H5" s="4"/>
      <c r="I5" s="4"/>
      <c r="J5" s="4"/>
      <c r="K5" s="4"/>
      <c r="L5" s="3">
        <f t="shared" si="0"/>
        <v>2</v>
      </c>
      <c r="M5" s="4"/>
      <c r="N5" s="4"/>
      <c r="O5" s="4"/>
      <c r="P5" s="4"/>
      <c r="Q5" s="4"/>
      <c r="R5" s="4"/>
      <c r="S5" s="3">
        <f t="shared" si="1"/>
        <v>0</v>
      </c>
      <c r="T5" s="5"/>
    </row>
    <row r="6" spans="1:20" ht="28.5" x14ac:dyDescent="0.25">
      <c r="A6" s="3" t="s">
        <v>209</v>
      </c>
      <c r="B6" s="3" t="s">
        <v>205</v>
      </c>
      <c r="C6" s="3">
        <v>2</v>
      </c>
      <c r="D6" s="3">
        <v>2</v>
      </c>
      <c r="E6" s="2" t="s">
        <v>311</v>
      </c>
      <c r="F6" s="3">
        <v>6</v>
      </c>
      <c r="G6" s="4" t="s">
        <v>572</v>
      </c>
      <c r="H6" s="4"/>
      <c r="I6" s="4"/>
      <c r="J6" s="4"/>
      <c r="K6" s="4"/>
      <c r="L6" s="3">
        <f t="shared" si="0"/>
        <v>6</v>
      </c>
      <c r="M6" s="4"/>
      <c r="N6" s="4"/>
      <c r="O6" s="4"/>
      <c r="P6" s="4"/>
      <c r="Q6" s="4"/>
      <c r="R6" s="4"/>
      <c r="S6" s="3">
        <f t="shared" si="1"/>
        <v>0</v>
      </c>
      <c r="T6" s="5"/>
    </row>
    <row r="7" spans="1:20" ht="28.5" x14ac:dyDescent="0.25">
      <c r="A7" s="3" t="s">
        <v>209</v>
      </c>
      <c r="B7" s="3" t="s">
        <v>205</v>
      </c>
      <c r="C7" s="3">
        <v>2</v>
      </c>
      <c r="D7" s="3">
        <v>3</v>
      </c>
      <c r="E7" s="2" t="s">
        <v>312</v>
      </c>
      <c r="F7" s="3">
        <v>8</v>
      </c>
      <c r="G7" s="4" t="s">
        <v>573</v>
      </c>
      <c r="H7" s="4">
        <v>1</v>
      </c>
      <c r="I7" s="4"/>
      <c r="J7" s="4"/>
      <c r="K7" s="4"/>
      <c r="L7" s="3">
        <f t="shared" si="0"/>
        <v>7</v>
      </c>
      <c r="M7" s="4"/>
      <c r="N7" s="4"/>
      <c r="O7" s="4"/>
      <c r="P7" s="4"/>
      <c r="Q7" s="4"/>
      <c r="R7" s="4"/>
      <c r="S7" s="3">
        <f t="shared" si="1"/>
        <v>0</v>
      </c>
      <c r="T7" s="5"/>
    </row>
    <row r="8" spans="1:20" ht="42.75" x14ac:dyDescent="0.25">
      <c r="A8" s="3" t="s">
        <v>209</v>
      </c>
      <c r="B8" s="3" t="s">
        <v>205</v>
      </c>
      <c r="C8" s="3">
        <v>2</v>
      </c>
      <c r="D8" s="3">
        <v>4</v>
      </c>
      <c r="E8" s="2" t="s">
        <v>313</v>
      </c>
      <c r="F8" s="3">
        <v>9</v>
      </c>
      <c r="G8" s="4" t="s">
        <v>573</v>
      </c>
      <c r="H8" s="4">
        <v>1</v>
      </c>
      <c r="I8" s="4"/>
      <c r="J8" s="4">
        <v>2</v>
      </c>
      <c r="K8" s="4"/>
      <c r="L8" s="3">
        <f t="shared" si="0"/>
        <v>6</v>
      </c>
      <c r="M8" s="4"/>
      <c r="N8" s="4"/>
      <c r="O8" s="4"/>
      <c r="P8" s="4"/>
      <c r="Q8" s="4"/>
      <c r="R8" s="4"/>
      <c r="S8" s="3">
        <f t="shared" si="1"/>
        <v>0</v>
      </c>
      <c r="T8" s="5"/>
    </row>
    <row r="9" spans="1:20" x14ac:dyDescent="0.25">
      <c r="A9" s="3" t="s">
        <v>209</v>
      </c>
      <c r="B9" s="3" t="s">
        <v>205</v>
      </c>
      <c r="C9" s="3">
        <v>2</v>
      </c>
      <c r="D9" s="3">
        <v>5</v>
      </c>
      <c r="E9" s="2" t="s">
        <v>314</v>
      </c>
      <c r="F9" s="3">
        <v>4</v>
      </c>
      <c r="G9" s="4" t="s">
        <v>572</v>
      </c>
      <c r="H9" s="4"/>
      <c r="I9" s="4"/>
      <c r="J9" s="4"/>
      <c r="K9" s="4"/>
      <c r="L9" s="3">
        <f t="shared" si="0"/>
        <v>4</v>
      </c>
      <c r="M9" s="4"/>
      <c r="N9" s="4"/>
      <c r="O9" s="4"/>
      <c r="P9" s="4"/>
      <c r="Q9" s="4"/>
      <c r="R9" s="4"/>
      <c r="S9" s="3">
        <f t="shared" si="1"/>
        <v>0</v>
      </c>
      <c r="T9" s="5"/>
    </row>
    <row r="10" spans="1:20" x14ac:dyDescent="0.25">
      <c r="A10" s="3" t="s">
        <v>212</v>
      </c>
      <c r="B10" s="3" t="s">
        <v>205</v>
      </c>
      <c r="C10" s="3">
        <v>3</v>
      </c>
      <c r="D10" s="3">
        <v>1</v>
      </c>
      <c r="E10" s="2" t="s">
        <v>308</v>
      </c>
      <c r="F10" s="3">
        <v>2</v>
      </c>
      <c r="G10" s="4" t="s">
        <v>572</v>
      </c>
      <c r="H10" s="4"/>
      <c r="I10" s="4"/>
      <c r="J10" s="4"/>
      <c r="K10" s="4"/>
      <c r="L10" s="3">
        <f t="shared" si="0"/>
        <v>2</v>
      </c>
      <c r="M10" s="4"/>
      <c r="N10" s="4"/>
      <c r="O10" s="4"/>
      <c r="P10" s="4"/>
      <c r="Q10" s="4"/>
      <c r="R10" s="4"/>
      <c r="S10" s="3">
        <f t="shared" si="1"/>
        <v>0</v>
      </c>
      <c r="T10" s="5"/>
    </row>
    <row r="11" spans="1:20" ht="28.5" x14ac:dyDescent="0.25">
      <c r="A11" s="3" t="s">
        <v>212</v>
      </c>
      <c r="B11" s="3" t="s">
        <v>205</v>
      </c>
      <c r="C11" s="3">
        <v>3</v>
      </c>
      <c r="D11" s="3">
        <v>2</v>
      </c>
      <c r="E11" s="2" t="s">
        <v>315</v>
      </c>
      <c r="F11" s="3">
        <v>6</v>
      </c>
      <c r="G11" s="4" t="s">
        <v>572</v>
      </c>
      <c r="H11" s="4"/>
      <c r="I11" s="4"/>
      <c r="J11" s="4"/>
      <c r="K11" s="4"/>
      <c r="L11" s="3">
        <f t="shared" si="0"/>
        <v>6</v>
      </c>
      <c r="M11" s="4"/>
      <c r="N11" s="4"/>
      <c r="O11" s="4"/>
      <c r="P11" s="4"/>
      <c r="Q11" s="4"/>
      <c r="R11" s="4"/>
      <c r="S11" s="3">
        <f t="shared" si="1"/>
        <v>0</v>
      </c>
      <c r="T11" s="5"/>
    </row>
    <row r="12" spans="1:20" ht="28.5" x14ac:dyDescent="0.25">
      <c r="A12" s="3" t="s">
        <v>212</v>
      </c>
      <c r="B12" s="3" t="s">
        <v>205</v>
      </c>
      <c r="C12" s="3">
        <v>3</v>
      </c>
      <c r="D12" s="3">
        <v>3</v>
      </c>
      <c r="E12" s="2" t="s">
        <v>316</v>
      </c>
      <c r="F12" s="3">
        <v>6</v>
      </c>
      <c r="G12" s="4" t="s">
        <v>573</v>
      </c>
      <c r="H12" s="4"/>
      <c r="I12" s="4"/>
      <c r="J12" s="4"/>
      <c r="K12" s="4">
        <v>1</v>
      </c>
      <c r="L12" s="3">
        <f t="shared" si="0"/>
        <v>5</v>
      </c>
      <c r="M12" s="4"/>
      <c r="N12" s="4">
        <v>1</v>
      </c>
      <c r="O12" s="4"/>
      <c r="P12" s="4"/>
      <c r="Q12" s="4"/>
      <c r="R12" s="4"/>
      <c r="S12" s="3">
        <f t="shared" si="1"/>
        <v>1</v>
      </c>
      <c r="T12" s="5"/>
    </row>
    <row r="13" spans="1:20" ht="28.5" x14ac:dyDescent="0.25">
      <c r="A13" s="3" t="s">
        <v>212</v>
      </c>
      <c r="B13" s="3" t="s">
        <v>205</v>
      </c>
      <c r="C13" s="3">
        <v>3</v>
      </c>
      <c r="D13" s="3">
        <v>4</v>
      </c>
      <c r="E13" s="2" t="s">
        <v>317</v>
      </c>
      <c r="F13" s="3">
        <v>2</v>
      </c>
      <c r="G13" s="4" t="s">
        <v>573</v>
      </c>
      <c r="H13" s="4">
        <v>1</v>
      </c>
      <c r="I13" s="4"/>
      <c r="J13" s="4"/>
      <c r="K13" s="4"/>
      <c r="L13" s="3">
        <f t="shared" si="0"/>
        <v>1</v>
      </c>
      <c r="M13" s="4"/>
      <c r="N13" s="4"/>
      <c r="O13" s="4"/>
      <c r="P13" s="4"/>
      <c r="Q13" s="4"/>
      <c r="R13" s="4"/>
      <c r="S13" s="3">
        <f t="shared" si="1"/>
        <v>0</v>
      </c>
      <c r="T13" s="5"/>
    </row>
    <row r="14" spans="1:20" x14ac:dyDescent="0.25">
      <c r="A14" s="3" t="s">
        <v>215</v>
      </c>
      <c r="B14" s="3" t="s">
        <v>205</v>
      </c>
      <c r="C14" s="3">
        <v>4</v>
      </c>
      <c r="D14" s="3">
        <v>1</v>
      </c>
      <c r="E14" s="2" t="s">
        <v>308</v>
      </c>
      <c r="F14" s="3">
        <v>2</v>
      </c>
      <c r="G14" s="4" t="s">
        <v>572</v>
      </c>
      <c r="H14" s="4"/>
      <c r="I14" s="4"/>
      <c r="J14" s="4"/>
      <c r="K14" s="4"/>
      <c r="L14" s="3">
        <f t="shared" si="0"/>
        <v>2</v>
      </c>
      <c r="M14" s="4"/>
      <c r="N14" s="4"/>
      <c r="O14" s="4"/>
      <c r="P14" s="4"/>
      <c r="Q14" s="4"/>
      <c r="R14" s="4"/>
      <c r="S14" s="3">
        <f t="shared" si="1"/>
        <v>0</v>
      </c>
      <c r="T14" s="5"/>
    </row>
    <row r="15" spans="1:20" ht="28.5" x14ac:dyDescent="0.25">
      <c r="A15" s="3" t="s">
        <v>215</v>
      </c>
      <c r="B15" s="3" t="s">
        <v>205</v>
      </c>
      <c r="C15" s="3">
        <v>4</v>
      </c>
      <c r="D15" s="3">
        <v>2</v>
      </c>
      <c r="E15" s="2" t="s">
        <v>318</v>
      </c>
      <c r="F15" s="3">
        <v>3</v>
      </c>
      <c r="G15" s="4" t="s">
        <v>573</v>
      </c>
      <c r="H15" s="4"/>
      <c r="I15" s="4"/>
      <c r="J15" s="4"/>
      <c r="K15" s="4">
        <v>2</v>
      </c>
      <c r="L15" s="3">
        <f t="shared" si="0"/>
        <v>1</v>
      </c>
      <c r="M15" s="4"/>
      <c r="N15" s="4">
        <v>2</v>
      </c>
      <c r="O15" s="4"/>
      <c r="P15" s="4"/>
      <c r="Q15" s="4"/>
      <c r="R15" s="4"/>
      <c r="S15" s="3">
        <f t="shared" si="1"/>
        <v>2</v>
      </c>
      <c r="T15" s="5"/>
    </row>
    <row r="16" spans="1:20" ht="28.5" x14ac:dyDescent="0.25">
      <c r="A16" s="3" t="s">
        <v>215</v>
      </c>
      <c r="B16" s="3" t="s">
        <v>205</v>
      </c>
      <c r="C16" s="3">
        <v>4</v>
      </c>
      <c r="D16" s="3">
        <v>3</v>
      </c>
      <c r="E16" s="2" t="s">
        <v>319</v>
      </c>
      <c r="F16" s="3">
        <v>3</v>
      </c>
      <c r="G16" s="4" t="s">
        <v>573</v>
      </c>
      <c r="H16" s="4">
        <v>1</v>
      </c>
      <c r="I16" s="4"/>
      <c r="J16" s="4"/>
      <c r="K16" s="4"/>
      <c r="L16" s="3">
        <f t="shared" si="0"/>
        <v>2</v>
      </c>
      <c r="M16" s="4"/>
      <c r="N16" s="4"/>
      <c r="O16" s="4"/>
      <c r="P16" s="4"/>
      <c r="Q16" s="4"/>
      <c r="R16" s="4"/>
      <c r="S16" s="3">
        <f t="shared" si="1"/>
        <v>0</v>
      </c>
      <c r="T16" s="5"/>
    </row>
    <row r="17" spans="1:20" x14ac:dyDescent="0.25">
      <c r="A17" s="3" t="s">
        <v>215</v>
      </c>
      <c r="B17" s="3" t="s">
        <v>205</v>
      </c>
      <c r="C17" s="3">
        <v>4</v>
      </c>
      <c r="D17" s="3">
        <v>4</v>
      </c>
      <c r="E17" s="2" t="s">
        <v>320</v>
      </c>
      <c r="F17" s="3">
        <v>2</v>
      </c>
      <c r="G17" s="4" t="s">
        <v>572</v>
      </c>
      <c r="H17" s="4"/>
      <c r="I17" s="4"/>
      <c r="J17" s="4"/>
      <c r="K17" s="4"/>
      <c r="L17" s="3">
        <f t="shared" si="0"/>
        <v>2</v>
      </c>
      <c r="M17" s="4"/>
      <c r="N17" s="4"/>
      <c r="O17" s="4"/>
      <c r="P17" s="4"/>
      <c r="Q17" s="4"/>
      <c r="R17" s="4"/>
      <c r="S17" s="3">
        <f t="shared" si="1"/>
        <v>0</v>
      </c>
      <c r="T17" s="5"/>
    </row>
    <row r="18" spans="1:20" x14ac:dyDescent="0.25">
      <c r="A18" s="3" t="s">
        <v>215</v>
      </c>
      <c r="B18" s="3" t="s">
        <v>205</v>
      </c>
      <c r="C18" s="3">
        <v>4</v>
      </c>
      <c r="D18" s="3">
        <v>5</v>
      </c>
      <c r="E18" s="2" t="s">
        <v>321</v>
      </c>
      <c r="F18" s="3">
        <v>2</v>
      </c>
      <c r="G18" s="4" t="s">
        <v>572</v>
      </c>
      <c r="H18" s="4"/>
      <c r="I18" s="4"/>
      <c r="J18" s="4"/>
      <c r="K18" s="4"/>
      <c r="L18" s="3">
        <f t="shared" si="0"/>
        <v>2</v>
      </c>
      <c r="M18" s="4"/>
      <c r="N18" s="4"/>
      <c r="O18" s="4"/>
      <c r="P18" s="4"/>
      <c r="Q18" s="4"/>
      <c r="R18" s="4"/>
      <c r="S18" s="3">
        <f t="shared" si="1"/>
        <v>0</v>
      </c>
      <c r="T18" s="5"/>
    </row>
    <row r="19" spans="1:20" x14ac:dyDescent="0.25">
      <c r="A19" s="3" t="s">
        <v>218</v>
      </c>
      <c r="B19" s="3" t="s">
        <v>205</v>
      </c>
      <c r="C19" s="3">
        <v>5</v>
      </c>
      <c r="D19" s="3">
        <v>1</v>
      </c>
      <c r="E19" s="2" t="s">
        <v>308</v>
      </c>
      <c r="F19" s="3">
        <v>2</v>
      </c>
      <c r="G19" s="4" t="s">
        <v>572</v>
      </c>
      <c r="H19" s="4"/>
      <c r="I19" s="4"/>
      <c r="J19" s="4"/>
      <c r="K19" s="4"/>
      <c r="L19" s="3">
        <f t="shared" si="0"/>
        <v>2</v>
      </c>
      <c r="M19" s="4"/>
      <c r="N19" s="4"/>
      <c r="O19" s="4"/>
      <c r="P19" s="4"/>
      <c r="Q19" s="4"/>
      <c r="R19" s="4"/>
      <c r="S19" s="3">
        <f t="shared" si="1"/>
        <v>0</v>
      </c>
      <c r="T19" s="5"/>
    </row>
    <row r="20" spans="1:20" x14ac:dyDescent="0.25">
      <c r="A20" s="3" t="s">
        <v>218</v>
      </c>
      <c r="B20" s="3" t="s">
        <v>205</v>
      </c>
      <c r="C20" s="3">
        <v>5</v>
      </c>
      <c r="D20" s="3">
        <v>2</v>
      </c>
      <c r="E20" s="2" t="s">
        <v>322</v>
      </c>
      <c r="F20" s="3">
        <v>7</v>
      </c>
      <c r="G20" s="4" t="s">
        <v>572</v>
      </c>
      <c r="H20" s="4"/>
      <c r="I20" s="4"/>
      <c r="J20" s="4"/>
      <c r="K20" s="4"/>
      <c r="L20" s="3">
        <f t="shared" si="0"/>
        <v>7</v>
      </c>
      <c r="M20" s="4"/>
      <c r="N20" s="4"/>
      <c r="O20" s="4"/>
      <c r="P20" s="4"/>
      <c r="Q20" s="4"/>
      <c r="R20" s="4"/>
      <c r="S20" s="3">
        <f t="shared" si="1"/>
        <v>0</v>
      </c>
      <c r="T20" s="5"/>
    </row>
    <row r="21" spans="1:20" x14ac:dyDescent="0.25">
      <c r="A21" s="3" t="s">
        <v>218</v>
      </c>
      <c r="B21" s="3" t="s">
        <v>205</v>
      </c>
      <c r="C21" s="3">
        <v>5</v>
      </c>
      <c r="D21" s="3">
        <v>3</v>
      </c>
      <c r="E21" s="2" t="s">
        <v>320</v>
      </c>
      <c r="F21" s="3">
        <v>2</v>
      </c>
      <c r="G21" s="4" t="s">
        <v>572</v>
      </c>
      <c r="H21" s="4"/>
      <c r="I21" s="4"/>
      <c r="J21" s="4"/>
      <c r="K21" s="4"/>
      <c r="L21" s="3">
        <f t="shared" si="0"/>
        <v>2</v>
      </c>
      <c r="M21" s="4"/>
      <c r="N21" s="4"/>
      <c r="O21" s="4"/>
      <c r="P21" s="4"/>
      <c r="Q21" s="4"/>
      <c r="R21" s="4"/>
      <c r="S21" s="3">
        <f t="shared" si="1"/>
        <v>0</v>
      </c>
      <c r="T21" s="5"/>
    </row>
    <row r="22" spans="1:20" ht="28.5" x14ac:dyDescent="0.25">
      <c r="A22" s="3" t="s">
        <v>218</v>
      </c>
      <c r="B22" s="3" t="s">
        <v>205</v>
      </c>
      <c r="C22" s="3">
        <v>5</v>
      </c>
      <c r="D22" s="3">
        <v>4</v>
      </c>
      <c r="E22" s="2" t="s">
        <v>323</v>
      </c>
      <c r="F22" s="3">
        <v>2</v>
      </c>
      <c r="G22" s="4" t="s">
        <v>573</v>
      </c>
      <c r="H22" s="4"/>
      <c r="I22" s="4"/>
      <c r="J22" s="4"/>
      <c r="K22" s="4">
        <v>1</v>
      </c>
      <c r="L22" s="3">
        <f t="shared" si="0"/>
        <v>1</v>
      </c>
      <c r="M22" s="4"/>
      <c r="N22" s="4">
        <v>1</v>
      </c>
      <c r="O22" s="4"/>
      <c r="P22" s="4"/>
      <c r="Q22" s="4"/>
      <c r="R22" s="4"/>
      <c r="S22" s="3">
        <f t="shared" si="1"/>
        <v>1</v>
      </c>
      <c r="T22" s="5"/>
    </row>
    <row r="23" spans="1:20" ht="28.5" x14ac:dyDescent="0.25">
      <c r="A23" s="3" t="s">
        <v>218</v>
      </c>
      <c r="B23" s="3" t="s">
        <v>205</v>
      </c>
      <c r="C23" s="3">
        <v>5</v>
      </c>
      <c r="D23" s="3">
        <v>5</v>
      </c>
      <c r="E23" s="2" t="s">
        <v>324</v>
      </c>
      <c r="F23" s="3">
        <v>9</v>
      </c>
      <c r="G23" s="4" t="s">
        <v>573</v>
      </c>
      <c r="H23" s="4">
        <v>3</v>
      </c>
      <c r="I23" s="4"/>
      <c r="J23" s="4"/>
      <c r="K23" s="4"/>
      <c r="L23" s="3">
        <f t="shared" si="0"/>
        <v>6</v>
      </c>
      <c r="M23" s="4"/>
      <c r="N23" s="4"/>
      <c r="O23" s="4"/>
      <c r="P23" s="4"/>
      <c r="Q23" s="4"/>
      <c r="R23" s="4"/>
      <c r="S23" s="3">
        <f t="shared" si="1"/>
        <v>0</v>
      </c>
      <c r="T23" s="5"/>
    </row>
    <row r="24" spans="1:20" x14ac:dyDescent="0.25">
      <c r="A24" s="3" t="s">
        <v>218</v>
      </c>
      <c r="B24" s="3" t="s">
        <v>205</v>
      </c>
      <c r="C24" s="3">
        <v>5</v>
      </c>
      <c r="D24" s="3">
        <v>6</v>
      </c>
      <c r="E24" s="2" t="s">
        <v>321</v>
      </c>
      <c r="F24" s="3">
        <v>2</v>
      </c>
      <c r="G24" s="4" t="s">
        <v>572</v>
      </c>
      <c r="H24" s="4"/>
      <c r="I24" s="4"/>
      <c r="J24" s="4"/>
      <c r="K24" s="4"/>
      <c r="L24" s="3">
        <f t="shared" si="0"/>
        <v>2</v>
      </c>
      <c r="M24" s="4"/>
      <c r="N24" s="4"/>
      <c r="O24" s="4"/>
      <c r="P24" s="4"/>
      <c r="Q24" s="4"/>
      <c r="R24" s="4"/>
      <c r="S24" s="3">
        <f t="shared" si="1"/>
        <v>0</v>
      </c>
      <c r="T24" s="5"/>
    </row>
    <row r="25" spans="1:20" ht="28.5" x14ac:dyDescent="0.25">
      <c r="A25" s="3" t="s">
        <v>218</v>
      </c>
      <c r="B25" s="3" t="s">
        <v>205</v>
      </c>
      <c r="C25" s="3">
        <v>5</v>
      </c>
      <c r="D25" s="3">
        <v>7</v>
      </c>
      <c r="E25" s="2" t="s">
        <v>325</v>
      </c>
      <c r="F25" s="3">
        <v>2</v>
      </c>
      <c r="G25" s="4" t="s">
        <v>573</v>
      </c>
      <c r="H25" s="4"/>
      <c r="I25" s="4">
        <v>1</v>
      </c>
      <c r="J25" s="4"/>
      <c r="K25" s="4"/>
      <c r="L25" s="3">
        <f t="shared" si="0"/>
        <v>1</v>
      </c>
      <c r="M25" s="4"/>
      <c r="N25" s="4"/>
      <c r="O25" s="4"/>
      <c r="P25" s="4"/>
      <c r="Q25" s="4"/>
      <c r="R25" s="4"/>
      <c r="S25" s="3">
        <f t="shared" si="1"/>
        <v>0</v>
      </c>
      <c r="T25" s="5"/>
    </row>
    <row r="26" spans="1:20" ht="28.5" x14ac:dyDescent="0.25">
      <c r="A26" s="3" t="s">
        <v>218</v>
      </c>
      <c r="B26" s="3" t="s">
        <v>205</v>
      </c>
      <c r="C26" s="3">
        <v>5</v>
      </c>
      <c r="D26" s="3">
        <v>8</v>
      </c>
      <c r="E26" s="2" t="s">
        <v>326</v>
      </c>
      <c r="F26" s="3">
        <v>2</v>
      </c>
      <c r="G26" s="4" t="s">
        <v>573</v>
      </c>
      <c r="H26" s="4">
        <v>1</v>
      </c>
      <c r="I26" s="4"/>
      <c r="J26" s="4"/>
      <c r="K26" s="4"/>
      <c r="L26" s="3">
        <f t="shared" si="0"/>
        <v>1</v>
      </c>
      <c r="M26" s="4"/>
      <c r="N26" s="4"/>
      <c r="O26" s="4"/>
      <c r="P26" s="4"/>
      <c r="Q26" s="4"/>
      <c r="R26" s="4"/>
      <c r="S26" s="3">
        <f t="shared" si="1"/>
        <v>0</v>
      </c>
      <c r="T26" s="5"/>
    </row>
    <row r="27" spans="1:20" ht="28.5" x14ac:dyDescent="0.25">
      <c r="A27" s="3" t="s">
        <v>221</v>
      </c>
      <c r="B27" s="3" t="s">
        <v>222</v>
      </c>
      <c r="C27" s="3">
        <v>1</v>
      </c>
      <c r="D27" s="3">
        <v>1</v>
      </c>
      <c r="E27" s="2" t="s">
        <v>327</v>
      </c>
      <c r="F27" s="3">
        <v>11</v>
      </c>
      <c r="G27" s="4" t="s">
        <v>573</v>
      </c>
      <c r="H27" s="4">
        <v>2</v>
      </c>
      <c r="I27" s="4"/>
      <c r="J27" s="4">
        <v>1</v>
      </c>
      <c r="K27" s="4">
        <v>1</v>
      </c>
      <c r="L27" s="3">
        <f t="shared" si="0"/>
        <v>7</v>
      </c>
      <c r="M27" s="4"/>
      <c r="N27" s="4">
        <v>1</v>
      </c>
      <c r="O27" s="4"/>
      <c r="P27" s="4"/>
      <c r="Q27" s="4"/>
      <c r="R27" s="4"/>
      <c r="S27" s="3">
        <f t="shared" si="1"/>
        <v>1</v>
      </c>
      <c r="T27" s="5"/>
    </row>
    <row r="28" spans="1:20" ht="28.5" x14ac:dyDescent="0.25">
      <c r="A28" s="3" t="s">
        <v>221</v>
      </c>
      <c r="B28" s="3" t="s">
        <v>222</v>
      </c>
      <c r="C28" s="3">
        <v>1</v>
      </c>
      <c r="D28" s="3">
        <v>2</v>
      </c>
      <c r="E28" s="2" t="s">
        <v>328</v>
      </c>
      <c r="F28" s="3">
        <v>12</v>
      </c>
      <c r="G28" s="4" t="s">
        <v>573</v>
      </c>
      <c r="H28" s="4">
        <v>1</v>
      </c>
      <c r="I28" s="4">
        <v>4</v>
      </c>
      <c r="J28" s="4">
        <v>1</v>
      </c>
      <c r="K28" s="4"/>
      <c r="L28" s="3">
        <f t="shared" si="0"/>
        <v>6</v>
      </c>
      <c r="M28" s="4"/>
      <c r="N28" s="4"/>
      <c r="O28" s="4"/>
      <c r="P28" s="4"/>
      <c r="Q28" s="4"/>
      <c r="R28" s="4"/>
      <c r="S28" s="3">
        <f t="shared" si="1"/>
        <v>0</v>
      </c>
      <c r="T28" s="5"/>
    </row>
    <row r="29" spans="1:20" ht="28.5" x14ac:dyDescent="0.25">
      <c r="A29" s="3" t="s">
        <v>225</v>
      </c>
      <c r="B29" s="3" t="s">
        <v>222</v>
      </c>
      <c r="C29" s="3">
        <v>2</v>
      </c>
      <c r="D29" s="3">
        <v>1</v>
      </c>
      <c r="E29" s="2" t="s">
        <v>329</v>
      </c>
      <c r="F29" s="3">
        <v>8</v>
      </c>
      <c r="G29" s="4" t="s">
        <v>573</v>
      </c>
      <c r="H29" s="4">
        <v>2</v>
      </c>
      <c r="I29" s="4"/>
      <c r="J29" s="4"/>
      <c r="K29" s="4"/>
      <c r="L29" s="3">
        <f t="shared" si="0"/>
        <v>6</v>
      </c>
      <c r="M29" s="4"/>
      <c r="N29" s="4"/>
      <c r="O29" s="4"/>
      <c r="P29" s="4"/>
      <c r="Q29" s="4"/>
      <c r="R29" s="4"/>
      <c r="S29" s="3">
        <f t="shared" si="1"/>
        <v>0</v>
      </c>
      <c r="T29" s="5"/>
    </row>
    <row r="30" spans="1:20" ht="28.5" x14ac:dyDescent="0.25">
      <c r="A30" s="3" t="s">
        <v>225</v>
      </c>
      <c r="B30" s="3" t="s">
        <v>222</v>
      </c>
      <c r="C30" s="3">
        <v>2</v>
      </c>
      <c r="D30" s="3">
        <v>2</v>
      </c>
      <c r="E30" s="2" t="s">
        <v>330</v>
      </c>
      <c r="F30" s="3">
        <v>10</v>
      </c>
      <c r="G30" s="4" t="s">
        <v>573</v>
      </c>
      <c r="H30" s="4">
        <v>2</v>
      </c>
      <c r="I30" s="4"/>
      <c r="J30" s="4"/>
      <c r="K30" s="4"/>
      <c r="L30" s="3">
        <f t="shared" si="0"/>
        <v>8</v>
      </c>
      <c r="M30" s="4"/>
      <c r="N30" s="4"/>
      <c r="O30" s="4"/>
      <c r="P30" s="4"/>
      <c r="Q30" s="4"/>
      <c r="R30" s="4"/>
      <c r="S30" s="3">
        <f t="shared" si="1"/>
        <v>0</v>
      </c>
      <c r="T30" s="5"/>
    </row>
    <row r="31" spans="1:20" x14ac:dyDescent="0.25">
      <c r="A31" s="3" t="s">
        <v>225</v>
      </c>
      <c r="B31" s="3" t="s">
        <v>222</v>
      </c>
      <c r="C31" s="3">
        <v>2</v>
      </c>
      <c r="D31" s="3">
        <v>3</v>
      </c>
      <c r="E31" s="2" t="s">
        <v>331</v>
      </c>
      <c r="F31" s="3">
        <v>4</v>
      </c>
      <c r="G31" s="4" t="s">
        <v>572</v>
      </c>
      <c r="H31" s="4"/>
      <c r="I31" s="4"/>
      <c r="J31" s="4"/>
      <c r="K31" s="4"/>
      <c r="L31" s="3">
        <f t="shared" si="0"/>
        <v>4</v>
      </c>
      <c r="M31" s="4"/>
      <c r="N31" s="4"/>
      <c r="O31" s="4"/>
      <c r="P31" s="4"/>
      <c r="Q31" s="4"/>
      <c r="R31" s="4"/>
      <c r="S31" s="3">
        <f t="shared" si="1"/>
        <v>0</v>
      </c>
      <c r="T31" s="5"/>
    </row>
    <row r="32" spans="1:20" ht="28.5" x14ac:dyDescent="0.25">
      <c r="A32" s="3" t="s">
        <v>225</v>
      </c>
      <c r="B32" s="3" t="s">
        <v>222</v>
      </c>
      <c r="C32" s="3">
        <v>2</v>
      </c>
      <c r="D32" s="3">
        <v>4</v>
      </c>
      <c r="E32" s="2" t="s">
        <v>332</v>
      </c>
      <c r="F32" s="3">
        <v>7</v>
      </c>
      <c r="G32" s="4" t="s">
        <v>573</v>
      </c>
      <c r="H32" s="4">
        <v>2</v>
      </c>
      <c r="I32" s="4">
        <v>2</v>
      </c>
      <c r="J32" s="4"/>
      <c r="K32" s="4"/>
      <c r="L32" s="3">
        <f t="shared" si="0"/>
        <v>3</v>
      </c>
      <c r="M32" s="4"/>
      <c r="N32" s="4"/>
      <c r="O32" s="4"/>
      <c r="P32" s="4"/>
      <c r="Q32" s="4"/>
      <c r="R32" s="4"/>
      <c r="S32" s="3">
        <f t="shared" si="1"/>
        <v>0</v>
      </c>
      <c r="T32" s="5"/>
    </row>
    <row r="33" spans="1:20" ht="28.5" x14ac:dyDescent="0.25">
      <c r="A33" s="3" t="s">
        <v>227</v>
      </c>
      <c r="B33" s="3" t="s">
        <v>222</v>
      </c>
      <c r="C33" s="3">
        <v>3</v>
      </c>
      <c r="D33" s="3">
        <v>1</v>
      </c>
      <c r="E33" s="2" t="s">
        <v>333</v>
      </c>
      <c r="F33" s="3">
        <v>10</v>
      </c>
      <c r="G33" s="4" t="s">
        <v>573</v>
      </c>
      <c r="H33" s="4">
        <v>1</v>
      </c>
      <c r="I33" s="4"/>
      <c r="J33" s="4"/>
      <c r="K33" s="4">
        <v>1</v>
      </c>
      <c r="L33" s="3">
        <f t="shared" si="0"/>
        <v>8</v>
      </c>
      <c r="M33" s="4"/>
      <c r="N33" s="4">
        <v>1</v>
      </c>
      <c r="O33" s="4"/>
      <c r="P33" s="4"/>
      <c r="Q33" s="4"/>
      <c r="R33" s="4"/>
      <c r="S33" s="3">
        <f t="shared" si="1"/>
        <v>1</v>
      </c>
      <c r="T33" s="5"/>
    </row>
    <row r="34" spans="1:20" ht="42.75" x14ac:dyDescent="0.25">
      <c r="A34" s="3" t="s">
        <v>227</v>
      </c>
      <c r="B34" s="3" t="s">
        <v>222</v>
      </c>
      <c r="C34" s="3">
        <v>3</v>
      </c>
      <c r="D34" s="3">
        <v>2</v>
      </c>
      <c r="E34" s="2" t="inlineStr">
        <is>
          <t xml:space="preserve">Сэ компьютер программэ закъоу сыщыт, цӏыфхэм къагъэщӏыгъэ алгоритмхэмрэ дахэу зэхэлъ фэIуагъэхэмрэ ары сызэрэлэжьэрэр.</t>
        </is>
      </c>
      <c r="F34" s="3">
        <v>13</v>
      </c>
      <c r="G34" s="4" t="s">
        <v>573</v>
      </c>
      <c r="H34" s="4">
        <v>1</v>
      </c>
      <c r="I34" s="4"/>
      <c r="J34" s="4"/>
      <c r="K34" s="4"/>
      <c r="L34" s="3">
        <f t="shared" si="0"/>
        <v>12</v>
      </c>
      <c r="M34" s="4"/>
      <c r="N34" s="4"/>
      <c r="O34" s="4"/>
      <c r="P34" s="4"/>
      <c r="Q34" s="4"/>
      <c r="R34" s="4"/>
      <c r="S34" s="3">
        <f t="shared" si="1"/>
        <v>0</v>
      </c>
      <c r="T34" s="5" t="inlineStr">
        <is>
          <t>Yazı sistemi karışıklığı.</t>
        </is>
      </c>
    </row>
    <row r="35" spans="1:20" ht="57" x14ac:dyDescent="0.25">
      <c r="A35" s="3" t="s">
        <v>227</v>
      </c>
      <c r="B35" s="3" t="s">
        <v>222</v>
      </c>
      <c r="C35" s="3">
        <v>3</v>
      </c>
      <c r="D35" s="3">
        <v>3</v>
      </c>
      <c r="E35" s="2" t="inlineStr">
        <is>
          <t xml:space="preserve">Сэ сишӏэныгъэхэмрэ текстыгъэхэмрэ адиштэу жэуапхэр къэстыжьын силъэкӏыщт, ау цӏыфым фэдэу шъыпкъэу сыгупшысэн эуи сыгу цӏыф гущыIэм фэдэу хэплъэн слъэкӏыщтэп.</t>
        </is>
      </c>
      <c r="F35" s="3">
        <v>19</v>
      </c>
      <c r="G35" s="4" t="s">
        <v>573</v>
      </c>
      <c r="H35" s="4">
        <v>5</v>
      </c>
      <c r="I35" s="4"/>
      <c r="J35" s="4"/>
      <c r="K35" s="4">
        <v>1</v>
      </c>
      <c r="L35" s="3">
        <f t="shared" si="0"/>
        <v>13</v>
      </c>
      <c r="M35" s="4"/>
      <c r="N35" s="4">
        <v>1</v>
      </c>
      <c r="O35" s="4"/>
      <c r="P35" s="4"/>
      <c r="Q35" s="4"/>
      <c r="R35" s="4"/>
      <c r="S35" s="3">
        <f t="shared" si="1"/>
        <v>1</v>
      </c>
      <c r="T35" s="5" t="inlineStr">
        <is>
          <t>Yazı sistemi karışıklığı.</t>
        </is>
      </c>
    </row>
    <row r="36" spans="1:20" ht="28.5" x14ac:dyDescent="0.25">
      <c r="A36" s="3" t="s">
        <v>229</v>
      </c>
      <c r="B36" s="3" t="s">
        <v>222</v>
      </c>
      <c r="C36" s="3">
        <v>4</v>
      </c>
      <c r="D36" s="3">
        <v>1</v>
      </c>
      <c r="E36" s="2" t="s">
        <v>336</v>
      </c>
      <c r="F36" s="3">
        <v>6</v>
      </c>
      <c r="G36" s="4" t="s">
        <v>573</v>
      </c>
      <c r="H36" s="4">
        <v>1</v>
      </c>
      <c r="I36" s="4"/>
      <c r="J36" s="4"/>
      <c r="K36" s="4">
        <v>1</v>
      </c>
      <c r="L36" s="3">
        <f t="shared" si="0"/>
        <v>4</v>
      </c>
      <c r="M36" s="4"/>
      <c r="N36" s="4">
        <v>1</v>
      </c>
      <c r="O36" s="4"/>
      <c r="P36" s="4"/>
      <c r="Q36" s="4"/>
      <c r="R36" s="4"/>
      <c r="S36" s="3">
        <f t="shared" si="1"/>
        <v>1</v>
      </c>
      <c r="T36" s="5"/>
    </row>
    <row r="37" spans="1:20" ht="28.5" x14ac:dyDescent="0.25">
      <c r="A37" s="3" t="s">
        <v>229</v>
      </c>
      <c r="B37" s="3" t="s">
        <v>222</v>
      </c>
      <c r="C37" s="3">
        <v>4</v>
      </c>
      <c r="D37" s="3">
        <v>2</v>
      </c>
      <c r="E37" s="2" t="s">
        <v>337</v>
      </c>
      <c r="F37" s="3">
        <v>8</v>
      </c>
      <c r="G37" s="4" t="s">
        <v>573</v>
      </c>
      <c r="H37" s="4">
        <v>3</v>
      </c>
      <c r="I37" s="4"/>
      <c r="J37" s="4"/>
      <c r="K37" s="4"/>
      <c r="L37" s="3">
        <f t="shared" si="0"/>
        <v>5</v>
      </c>
      <c r="M37" s="4"/>
      <c r="N37" s="4"/>
      <c r="O37" s="4"/>
      <c r="P37" s="4"/>
      <c r="Q37" s="4"/>
      <c r="R37" s="4"/>
      <c r="S37" s="3">
        <f t="shared" si="1"/>
        <v>0</v>
      </c>
      <c r="T37" s="5"/>
    </row>
    <row r="38" spans="1:20" x14ac:dyDescent="0.25">
      <c r="A38" s="3" t="s">
        <v>231</v>
      </c>
      <c r="B38" s="3" t="s">
        <v>222</v>
      </c>
      <c r="C38" s="3">
        <v>5</v>
      </c>
      <c r="D38" s="3">
        <v>1</v>
      </c>
      <c r="E38" s="2" t="s">
        <v>232</v>
      </c>
      <c r="F38" s="3">
        <v>2</v>
      </c>
      <c r="G38" s="4" t="s">
        <v>572</v>
      </c>
      <c r="H38" s="4"/>
      <c r="I38" s="4"/>
      <c r="J38" s="4"/>
      <c r="K38" s="4"/>
      <c r="L38" s="3">
        <f t="shared" si="0"/>
        <v>2</v>
      </c>
      <c r="M38" s="4"/>
      <c r="N38" s="4"/>
      <c r="O38" s="4"/>
      <c r="P38" s="4"/>
      <c r="Q38" s="4"/>
      <c r="R38" s="4"/>
      <c r="S38" s="3">
        <f t="shared" si="1"/>
        <v>0</v>
      </c>
      <c r="T38" s="5"/>
    </row>
    <row r="39" spans="1:20" ht="28.5" x14ac:dyDescent="0.25">
      <c r="A39" s="3" t="s">
        <v>233</v>
      </c>
      <c r="B39" s="3" t="s">
        <v>234</v>
      </c>
      <c r="C39" s="3">
        <v>1</v>
      </c>
      <c r="D39" s="3">
        <v>1</v>
      </c>
      <c r="E39" s="2" t="s">
        <v>338</v>
      </c>
      <c r="F39" s="3">
        <v>7</v>
      </c>
      <c r="G39" s="4" t="s">
        <v>573</v>
      </c>
      <c r="H39" s="4">
        <v>2</v>
      </c>
      <c r="I39" s="4"/>
      <c r="J39" s="4"/>
      <c r="K39" s="4"/>
      <c r="L39" s="3">
        <f t="shared" si="0"/>
        <v>5</v>
      </c>
      <c r="M39" s="4"/>
      <c r="N39" s="4"/>
      <c r="O39" s="4"/>
      <c r="P39" s="4"/>
      <c r="Q39" s="4"/>
      <c r="R39" s="4"/>
      <c r="S39" s="3">
        <f t="shared" si="1"/>
        <v>0</v>
      </c>
      <c r="T39" s="5"/>
    </row>
    <row r="40" spans="1:20" ht="28.5" x14ac:dyDescent="0.25">
      <c r="A40" s="3" t="s">
        <v>233</v>
      </c>
      <c r="B40" s="3" t="s">
        <v>234</v>
      </c>
      <c r="C40" s="3">
        <v>1</v>
      </c>
      <c r="D40" s="3">
        <v>2</v>
      </c>
      <c r="E40" s="2" t="s">
        <v>339</v>
      </c>
      <c r="F40" s="3">
        <v>3</v>
      </c>
      <c r="G40" s="4" t="s">
        <v>573</v>
      </c>
      <c r="H40" s="4">
        <v>1</v>
      </c>
      <c r="I40" s="4"/>
      <c r="J40" s="4"/>
      <c r="K40" s="4"/>
      <c r="L40" s="3">
        <f t="shared" si="0"/>
        <v>2</v>
      </c>
      <c r="M40" s="4"/>
      <c r="N40" s="4"/>
      <c r="O40" s="4"/>
      <c r="P40" s="4"/>
      <c r="Q40" s="4"/>
      <c r="R40" s="4"/>
      <c r="S40" s="3">
        <f t="shared" si="1"/>
        <v>0</v>
      </c>
      <c r="T40" s="5"/>
    </row>
    <row r="41" spans="1:20" x14ac:dyDescent="0.25">
      <c r="A41" s="3" t="s">
        <v>237</v>
      </c>
      <c r="B41" s="3" t="s">
        <v>234</v>
      </c>
      <c r="C41" s="3">
        <v>2</v>
      </c>
      <c r="D41" s="3">
        <v>1</v>
      </c>
      <c r="E41" s="2" t="s">
        <v>340</v>
      </c>
      <c r="F41" s="3">
        <v>2</v>
      </c>
      <c r="G41" s="4" t="s">
        <v>572</v>
      </c>
      <c r="H41" s="4"/>
      <c r="I41" s="4"/>
      <c r="J41" s="4"/>
      <c r="K41" s="4"/>
      <c r="L41" s="3">
        <f t="shared" si="0"/>
        <v>2</v>
      </c>
      <c r="M41" s="4"/>
      <c r="N41" s="4"/>
      <c r="O41" s="4"/>
      <c r="P41" s="4"/>
      <c r="Q41" s="4"/>
      <c r="R41" s="4"/>
      <c r="S41" s="3">
        <f t="shared" si="1"/>
        <v>0</v>
      </c>
      <c r="T41" s="5"/>
    </row>
    <row r="42" spans="1:20" ht="42.75" x14ac:dyDescent="0.25">
      <c r="A42" s="3" t="s">
        <v>237</v>
      </c>
      <c r="B42" s="3" t="s">
        <v>234</v>
      </c>
      <c r="C42" s="3">
        <v>2</v>
      </c>
      <c r="D42" s="3">
        <v>2</v>
      </c>
      <c r="E42" s="2" t="s">
        <v>341</v>
      </c>
      <c r="F42" s="3">
        <v>9</v>
      </c>
      <c r="G42" s="4" t="s">
        <v>573</v>
      </c>
      <c r="H42" s="4">
        <v>1</v>
      </c>
      <c r="I42" s="4"/>
      <c r="J42" s="4"/>
      <c r="K42" s="4"/>
      <c r="L42" s="3">
        <f t="shared" si="0"/>
        <v>8</v>
      </c>
      <c r="M42" s="4"/>
      <c r="N42" s="4"/>
      <c r="O42" s="4"/>
      <c r="P42" s="4"/>
      <c r="Q42" s="4"/>
      <c r="R42" s="4"/>
      <c r="S42" s="3">
        <f t="shared" si="1"/>
        <v>0</v>
      </c>
      <c r="T42" s="5"/>
    </row>
    <row r="43" spans="1:20" ht="28.5" x14ac:dyDescent="0.25">
      <c r="A43" s="3" t="s">
        <v>237</v>
      </c>
      <c r="B43" s="3" t="s">
        <v>234</v>
      </c>
      <c r="C43" s="3">
        <v>2</v>
      </c>
      <c r="D43" s="3">
        <v>3</v>
      </c>
      <c r="E43" s="2" t="s">
        <v>342</v>
      </c>
      <c r="F43" s="3">
        <v>9</v>
      </c>
      <c r="G43" s="4" t="s">
        <v>573</v>
      </c>
      <c r="H43" s="4">
        <v>4</v>
      </c>
      <c r="I43" s="4">
        <v>1</v>
      </c>
      <c r="J43" s="4"/>
      <c r="K43" s="4"/>
      <c r="L43" s="3">
        <f t="shared" si="0"/>
        <v>4</v>
      </c>
      <c r="M43" s="4"/>
      <c r="N43" s="4"/>
      <c r="O43" s="4"/>
      <c r="P43" s="4"/>
      <c r="Q43" s="4"/>
      <c r="R43" s="4"/>
      <c r="S43" s="3">
        <f t="shared" si="1"/>
        <v>0</v>
      </c>
      <c r="T43" s="5"/>
    </row>
    <row r="44" spans="1:20" ht="42.75" x14ac:dyDescent="0.25">
      <c r="A44" s="3" t="s">
        <v>237</v>
      </c>
      <c r="B44" s="3" t="s">
        <v>234</v>
      </c>
      <c r="C44" s="3">
        <v>2</v>
      </c>
      <c r="D44" s="3">
        <v>4</v>
      </c>
      <c r="E44" s="2" t="s">
        <v>343</v>
      </c>
      <c r="F44" s="3">
        <v>11</v>
      </c>
      <c r="G44" s="4" t="s">
        <v>573</v>
      </c>
      <c r="H44" s="4">
        <v>3</v>
      </c>
      <c r="I44" s="4">
        <v>2</v>
      </c>
      <c r="J44" s="4">
        <v>1</v>
      </c>
      <c r="K44" s="4"/>
      <c r="L44" s="3">
        <f t="shared" si="0"/>
        <v>5</v>
      </c>
      <c r="M44" s="4"/>
      <c r="N44" s="4"/>
      <c r="O44" s="4"/>
      <c r="P44" s="4"/>
      <c r="Q44" s="4"/>
      <c r="R44" s="4"/>
      <c r="S44" s="3">
        <f t="shared" si="1"/>
        <v>0</v>
      </c>
      <c r="T44" s="5"/>
    </row>
    <row r="45" spans="1:20" ht="28.5" x14ac:dyDescent="0.25">
      <c r="A45" s="3" t="s">
        <v>237</v>
      </c>
      <c r="B45" s="3" t="s">
        <v>234</v>
      </c>
      <c r="C45" s="3">
        <v>2</v>
      </c>
      <c r="D45" s="3">
        <v>5</v>
      </c>
      <c r="E45" s="2" t="s">
        <v>344</v>
      </c>
      <c r="F45" s="3">
        <v>2</v>
      </c>
      <c r="G45" s="4" t="s">
        <v>573</v>
      </c>
      <c r="H45" s="4">
        <v>1</v>
      </c>
      <c r="I45" s="4"/>
      <c r="J45" s="4"/>
      <c r="K45" s="4"/>
      <c r="L45" s="3">
        <f t="shared" si="0"/>
        <v>1</v>
      </c>
      <c r="M45" s="4"/>
      <c r="N45" s="4"/>
      <c r="O45" s="4"/>
      <c r="P45" s="4"/>
      <c r="Q45" s="4"/>
      <c r="R45" s="4"/>
      <c r="S45" s="3">
        <f t="shared" si="1"/>
        <v>0</v>
      </c>
      <c r="T45" s="5"/>
    </row>
    <row r="46" spans="1:20" ht="28.5" x14ac:dyDescent="0.25">
      <c r="A46" s="3" t="s">
        <v>239</v>
      </c>
      <c r="B46" s="3" t="s">
        <v>234</v>
      </c>
      <c r="C46" s="3">
        <v>3</v>
      </c>
      <c r="D46" s="3">
        <v>1</v>
      </c>
      <c r="E46" s="2" t="s">
        <v>345</v>
      </c>
      <c r="F46" s="3">
        <v>2</v>
      </c>
      <c r="G46" s="4" t="s">
        <v>573</v>
      </c>
      <c r="H46" s="4"/>
      <c r="I46" s="4"/>
      <c r="J46" s="4">
        <v>1</v>
      </c>
      <c r="K46" s="4"/>
      <c r="L46" s="3">
        <f t="shared" si="0"/>
        <v>1</v>
      </c>
      <c r="M46" s="4"/>
      <c r="N46" s="4"/>
      <c r="O46" s="4"/>
      <c r="P46" s="4"/>
      <c r="Q46" s="4"/>
      <c r="R46" s="4"/>
      <c r="S46" s="3">
        <f t="shared" si="1"/>
        <v>0</v>
      </c>
      <c r="T46" s="5"/>
    </row>
    <row r="47" spans="1:20" ht="42.75" x14ac:dyDescent="0.25">
      <c r="A47" s="3" t="s">
        <v>239</v>
      </c>
      <c r="B47" s="3" t="s">
        <v>234</v>
      </c>
      <c r="C47" s="3">
        <v>3</v>
      </c>
      <c r="D47" s="3">
        <v>2</v>
      </c>
      <c r="E47" s="2" t="s">
        <v>346</v>
      </c>
      <c r="F47" s="3">
        <v>17</v>
      </c>
      <c r="G47" s="4" t="s">
        <v>573</v>
      </c>
      <c r="H47" s="4">
        <v>4</v>
      </c>
      <c r="I47" s="4"/>
      <c r="J47" s="4"/>
      <c r="K47" s="4">
        <v>4</v>
      </c>
      <c r="L47" s="3">
        <f t="shared" si="0"/>
        <v>9</v>
      </c>
      <c r="M47" s="4"/>
      <c r="N47" s="4">
        <v>1</v>
      </c>
      <c r="O47" s="4"/>
      <c r="P47" s="4"/>
      <c r="Q47" s="4">
        <v>3</v>
      </c>
      <c r="R47" s="4"/>
      <c r="S47" s="3">
        <f t="shared" si="1"/>
        <v>4</v>
      </c>
      <c r="T47" s="5"/>
    </row>
    <row r="48" spans="1:20" ht="28.5" x14ac:dyDescent="0.25">
      <c r="A48" s="3" t="s">
        <v>239</v>
      </c>
      <c r="B48" s="3" t="s">
        <v>234</v>
      </c>
      <c r="C48" s="3">
        <v>3</v>
      </c>
      <c r="D48" s="3">
        <v>3</v>
      </c>
      <c r="E48" s="2" t="s">
        <v>347</v>
      </c>
      <c r="F48" s="3">
        <v>5</v>
      </c>
      <c r="G48" s="4" t="s">
        <v>573</v>
      </c>
      <c r="H48" s="4">
        <v>1</v>
      </c>
      <c r="I48" s="4"/>
      <c r="J48" s="4"/>
      <c r="K48" s="4"/>
      <c r="L48" s="3">
        <f t="shared" si="0"/>
        <v>4</v>
      </c>
      <c r="M48" s="4"/>
      <c r="N48" s="4"/>
      <c r="O48" s="4"/>
      <c r="P48" s="4"/>
      <c r="Q48" s="4"/>
      <c r="R48" s="4"/>
      <c r="S48" s="3">
        <f t="shared" si="1"/>
        <v>0</v>
      </c>
      <c r="T48" s="5"/>
    </row>
    <row r="49" spans="1:20" ht="28.5" x14ac:dyDescent="0.25">
      <c r="A49" s="3" t="s">
        <v>239</v>
      </c>
      <c r="B49" s="3" t="s">
        <v>234</v>
      </c>
      <c r="C49" s="3">
        <v>3</v>
      </c>
      <c r="D49" s="3">
        <v>4</v>
      </c>
      <c r="E49" s="2" t="inlineStr">
        <is>
          <t xml:space="preserve">Текстыр къысэфэхь ыкӏи хэт бызэмкӏэ зэдзэкӏын пае къэIо!</t>
        </is>
      </c>
      <c r="F49" s="3">
        <v>8</v>
      </c>
      <c r="G49" s="4" t="s">
        <v>573</v>
      </c>
      <c r="H49" s="4">
        <v>2</v>
      </c>
      <c r="I49" s="4"/>
      <c r="J49" s="4"/>
      <c r="K49" s="4"/>
      <c r="L49" s="3">
        <f t="shared" si="0"/>
        <v>6</v>
      </c>
      <c r="M49" s="4"/>
      <c r="N49" s="4"/>
      <c r="O49" s="4"/>
      <c r="P49" s="4"/>
      <c r="Q49" s="4"/>
      <c r="R49" s="4"/>
      <c r="S49" s="3">
        <f t="shared" si="1"/>
        <v>0</v>
      </c>
      <c r="T49" s="5" t="inlineStr">
        <is>
          <t>Yazı sistemi karışıklığı.</t>
        </is>
      </c>
    </row>
    <row r="50" spans="1:20" ht="28.5" x14ac:dyDescent="0.25">
      <c r="A50" s="3" t="s">
        <v>241</v>
      </c>
      <c r="B50" s="3" t="s">
        <v>234</v>
      </c>
      <c r="C50" s="3">
        <v>4</v>
      </c>
      <c r="D50" s="3">
        <v>1</v>
      </c>
      <c r="E50" s="2" t="s">
        <v>349</v>
      </c>
      <c r="F50" s="3">
        <v>2</v>
      </c>
      <c r="G50" s="4" t="s">
        <v>573</v>
      </c>
      <c r="H50" s="4">
        <v>1</v>
      </c>
      <c r="I50" s="4"/>
      <c r="J50" s="4"/>
      <c r="K50" s="4"/>
      <c r="L50" s="3">
        <f t="shared" si="0"/>
        <v>1</v>
      </c>
      <c r="M50" s="4"/>
      <c r="N50" s="4"/>
      <c r="O50" s="4"/>
      <c r="P50" s="4"/>
      <c r="Q50" s="4"/>
      <c r="R50" s="4"/>
      <c r="S50" s="3">
        <f t="shared" si="1"/>
        <v>0</v>
      </c>
      <c r="T50" s="5"/>
    </row>
    <row r="51" spans="1:20" ht="28.5" x14ac:dyDescent="0.25">
      <c r="A51" s="3" t="s">
        <v>241</v>
      </c>
      <c r="B51" s="3" t="s">
        <v>234</v>
      </c>
      <c r="C51" s="3">
        <v>4</v>
      </c>
      <c r="D51" s="3">
        <v>2</v>
      </c>
      <c r="E51" s="2" t="s">
        <v>350</v>
      </c>
      <c r="F51" s="3">
        <v>12</v>
      </c>
      <c r="G51" s="4" t="s">
        <v>573</v>
      </c>
      <c r="H51" s="4">
        <v>3</v>
      </c>
      <c r="I51" s="4"/>
      <c r="J51" s="4"/>
      <c r="K51" s="4"/>
      <c r="L51" s="3">
        <f t="shared" si="0"/>
        <v>9</v>
      </c>
      <c r="M51" s="4"/>
      <c r="N51" s="4"/>
      <c r="O51" s="4"/>
      <c r="P51" s="4"/>
      <c r="Q51" s="4"/>
      <c r="R51" s="4"/>
      <c r="S51" s="3">
        <f t="shared" si="1"/>
        <v>0</v>
      </c>
      <c r="T51" s="5"/>
    </row>
    <row r="52" spans="1:20" ht="28.5" x14ac:dyDescent="0.25">
      <c r="A52" s="3" t="s">
        <v>241</v>
      </c>
      <c r="B52" s="3" t="s">
        <v>234</v>
      </c>
      <c r="C52" s="3">
        <v>4</v>
      </c>
      <c r="D52" s="3">
        <v>3</v>
      </c>
      <c r="E52" s="2" t="s">
        <v>351</v>
      </c>
      <c r="F52" s="3">
        <v>3</v>
      </c>
      <c r="G52" s="4" t="s">
        <v>573</v>
      </c>
      <c r="H52" s="4">
        <v>1</v>
      </c>
      <c r="I52" s="4"/>
      <c r="J52" s="4"/>
      <c r="K52" s="4"/>
      <c r="L52" s="3">
        <f t="shared" si="0"/>
        <v>2</v>
      </c>
      <c r="M52" s="4"/>
      <c r="N52" s="4"/>
      <c r="O52" s="4"/>
      <c r="P52" s="4"/>
      <c r="Q52" s="4"/>
      <c r="R52" s="4"/>
      <c r="S52" s="3">
        <f t="shared" si="1"/>
        <v>0</v>
      </c>
      <c r="T52" s="5"/>
    </row>
    <row r="53" spans="1:20" ht="28.5" x14ac:dyDescent="0.25">
      <c r="A53" s="3" t="s">
        <v>243</v>
      </c>
      <c r="B53" s="3" t="s">
        <v>234</v>
      </c>
      <c r="C53" s="3">
        <v>5</v>
      </c>
      <c r="D53" s="3">
        <v>1</v>
      </c>
      <c r="E53" s="2" t="s">
        <v>352</v>
      </c>
      <c r="F53" s="3">
        <v>2</v>
      </c>
      <c r="G53" s="4" t="s">
        <v>573</v>
      </c>
      <c r="H53" s="4">
        <v>1</v>
      </c>
      <c r="I53" s="4"/>
      <c r="J53" s="4"/>
      <c r="K53" s="4"/>
      <c r="L53" s="3">
        <f t="shared" si="0"/>
        <v>1</v>
      </c>
      <c r="M53" s="4"/>
      <c r="N53" s="4"/>
      <c r="O53" s="4"/>
      <c r="P53" s="4"/>
      <c r="Q53" s="4"/>
      <c r="R53" s="4"/>
      <c r="S53" s="3">
        <f t="shared" si="1"/>
        <v>0</v>
      </c>
      <c r="T53" s="5"/>
    </row>
    <row r="54" spans="1:20" x14ac:dyDescent="0.25">
      <c r="A54" s="3" t="s">
        <v>243</v>
      </c>
      <c r="B54" s="3" t="s">
        <v>234</v>
      </c>
      <c r="C54" s="3">
        <v>5</v>
      </c>
      <c r="D54" s="3">
        <v>2</v>
      </c>
      <c r="E54" s="2" t="s">
        <v>353</v>
      </c>
      <c r="F54" s="3">
        <v>1</v>
      </c>
      <c r="G54" s="4" t="s">
        <v>572</v>
      </c>
      <c r="H54" s="4"/>
      <c r="I54" s="4"/>
      <c r="J54" s="4"/>
      <c r="K54" s="4"/>
      <c r="L54" s="3">
        <f t="shared" si="0"/>
        <v>1</v>
      </c>
      <c r="M54" s="4"/>
      <c r="N54" s="4"/>
      <c r="O54" s="4"/>
      <c r="P54" s="4"/>
      <c r="Q54" s="4"/>
      <c r="R54" s="4"/>
      <c r="S54" s="3">
        <f t="shared" si="1"/>
        <v>0</v>
      </c>
      <c r="T54" s="5"/>
    </row>
    <row r="55" spans="1:20" x14ac:dyDescent="0.25">
      <c r="A55" s="3" t="s">
        <v>245</v>
      </c>
      <c r="B55" s="3" t="s">
        <v>246</v>
      </c>
      <c r="C55" s="3">
        <v>1</v>
      </c>
      <c r="D55" s="3">
        <v>1</v>
      </c>
      <c r="E55" s="2" t="s">
        <v>354</v>
      </c>
      <c r="F55" s="3">
        <v>4</v>
      </c>
      <c r="G55" s="4" t="s">
        <v>572</v>
      </c>
      <c r="H55" s="4"/>
      <c r="I55" s="4"/>
      <c r="J55" s="4"/>
      <c r="K55" s="4"/>
      <c r="L55" s="3">
        <f t="shared" si="0"/>
        <v>4</v>
      </c>
      <c r="M55" s="4"/>
      <c r="N55" s="4"/>
      <c r="O55" s="4"/>
      <c r="P55" s="4"/>
      <c r="Q55" s="4"/>
      <c r="R55" s="4"/>
      <c r="S55" s="3">
        <f t="shared" si="1"/>
        <v>0</v>
      </c>
      <c r="T55" s="5"/>
    </row>
    <row r="56" spans="1:20" x14ac:dyDescent="0.25">
      <c r="A56" s="3" t="s">
        <v>245</v>
      </c>
      <c r="B56" s="3" t="s">
        <v>246</v>
      </c>
      <c r="C56" s="3">
        <v>1</v>
      </c>
      <c r="D56" s="3">
        <v>2</v>
      </c>
      <c r="E56" s="2" t="s">
        <v>355</v>
      </c>
      <c r="F56" s="3">
        <v>6</v>
      </c>
      <c r="G56" s="4" t="s">
        <v>572</v>
      </c>
      <c r="H56" s="4"/>
      <c r="I56" s="4"/>
      <c r="J56" s="4"/>
      <c r="K56" s="4"/>
      <c r="L56" s="3">
        <f t="shared" si="0"/>
        <v>6</v>
      </c>
      <c r="M56" s="4"/>
      <c r="N56" s="4"/>
      <c r="O56" s="4"/>
      <c r="P56" s="4"/>
      <c r="Q56" s="4"/>
      <c r="R56" s="4"/>
      <c r="S56" s="3">
        <f t="shared" si="1"/>
        <v>0</v>
      </c>
      <c r="T56" s="5"/>
    </row>
    <row r="57" spans="1:20" x14ac:dyDescent="0.25">
      <c r="A57" s="3" t="s">
        <v>245</v>
      </c>
      <c r="B57" s="3" t="s">
        <v>246</v>
      </c>
      <c r="C57" s="3">
        <v>1</v>
      </c>
      <c r="D57" s="3">
        <v>3</v>
      </c>
      <c r="E57" s="2" t="s">
        <v>356</v>
      </c>
      <c r="F57" s="3">
        <v>5</v>
      </c>
      <c r="G57" s="4" t="s">
        <v>572</v>
      </c>
      <c r="H57" s="4"/>
      <c r="I57" s="4"/>
      <c r="J57" s="4"/>
      <c r="K57" s="4"/>
      <c r="L57" s="3">
        <f t="shared" si="0"/>
        <v>5</v>
      </c>
      <c r="M57" s="4"/>
      <c r="N57" s="4"/>
      <c r="O57" s="4"/>
      <c r="P57" s="4"/>
      <c r="Q57" s="4"/>
      <c r="R57" s="4"/>
      <c r="S57" s="3">
        <f t="shared" si="1"/>
        <v>0</v>
      </c>
      <c r="T57" s="5"/>
    </row>
    <row r="58" spans="1:20" x14ac:dyDescent="0.25">
      <c r="A58" s="3" t="s">
        <v>245</v>
      </c>
      <c r="B58" s="3" t="s">
        <v>246</v>
      </c>
      <c r="C58" s="3">
        <v>1</v>
      </c>
      <c r="D58" s="3">
        <v>4</v>
      </c>
      <c r="E58" s="2" t="s">
        <v>357</v>
      </c>
      <c r="F58" s="3">
        <v>4</v>
      </c>
      <c r="G58" s="4" t="s">
        <v>572</v>
      </c>
      <c r="H58" s="4"/>
      <c r="I58" s="4"/>
      <c r="J58" s="4"/>
      <c r="K58" s="4"/>
      <c r="L58" s="3">
        <f t="shared" si="0"/>
        <v>4</v>
      </c>
      <c r="M58" s="4"/>
      <c r="N58" s="4"/>
      <c r="O58" s="4"/>
      <c r="P58" s="4"/>
      <c r="Q58" s="4"/>
      <c r="R58" s="4"/>
      <c r="S58" s="3">
        <f t="shared" si="1"/>
        <v>0</v>
      </c>
      <c r="T58" s="5"/>
    </row>
    <row r="59" spans="1:20" x14ac:dyDescent="0.25">
      <c r="A59" s="3" t="s">
        <v>245</v>
      </c>
      <c r="B59" s="3" t="s">
        <v>246</v>
      </c>
      <c r="C59" s="3">
        <v>1</v>
      </c>
      <c r="D59" s="3">
        <v>5</v>
      </c>
      <c r="E59" s="2" t="s">
        <v>358</v>
      </c>
      <c r="F59" s="3">
        <v>2</v>
      </c>
      <c r="G59" s="4" t="s">
        <v>572</v>
      </c>
      <c r="H59" s="4"/>
      <c r="I59" s="4"/>
      <c r="J59" s="4"/>
      <c r="K59" s="4"/>
      <c r="L59" s="3">
        <f t="shared" si="0"/>
        <v>2</v>
      </c>
      <c r="M59" s="4"/>
      <c r="N59" s="4"/>
      <c r="O59" s="4"/>
      <c r="P59" s="4"/>
      <c r="Q59" s="4"/>
      <c r="R59" s="4"/>
      <c r="S59" s="3">
        <f t="shared" si="1"/>
        <v>0</v>
      </c>
      <c r="T59" s="5"/>
    </row>
    <row r="60" spans="1:20" x14ac:dyDescent="0.25">
      <c r="A60" s="3" t="s">
        <v>245</v>
      </c>
      <c r="B60" s="3" t="s">
        <v>246</v>
      </c>
      <c r="C60" s="3">
        <v>1</v>
      </c>
      <c r="D60" s="3">
        <v>6</v>
      </c>
      <c r="E60" s="2" t="s">
        <v>359</v>
      </c>
      <c r="F60" s="3">
        <v>3</v>
      </c>
      <c r="G60" s="4" t="s">
        <v>572</v>
      </c>
      <c r="H60" s="4"/>
      <c r="I60" s="4"/>
      <c r="J60" s="4"/>
      <c r="K60" s="4"/>
      <c r="L60" s="3">
        <f t="shared" si="0"/>
        <v>3</v>
      </c>
      <c r="M60" s="4"/>
      <c r="N60" s="4"/>
      <c r="O60" s="4"/>
      <c r="P60" s="4"/>
      <c r="Q60" s="4"/>
      <c r="R60" s="4"/>
      <c r="S60" s="3">
        <f t="shared" si="1"/>
        <v>0</v>
      </c>
      <c r="T60" s="5"/>
    </row>
    <row r="61" spans="1:20" x14ac:dyDescent="0.25">
      <c r="A61" s="3" t="s">
        <v>245</v>
      </c>
      <c r="B61" s="3" t="s">
        <v>246</v>
      </c>
      <c r="C61" s="3">
        <v>1</v>
      </c>
      <c r="D61" s="3">
        <v>7</v>
      </c>
      <c r="E61" s="2" t="s">
        <v>360</v>
      </c>
      <c r="F61" s="3">
        <v>4</v>
      </c>
      <c r="G61" s="4" t="s">
        <v>572</v>
      </c>
      <c r="H61" s="4"/>
      <c r="I61" s="4"/>
      <c r="J61" s="4"/>
      <c r="K61" s="4"/>
      <c r="L61" s="3">
        <f t="shared" si="0"/>
        <v>4</v>
      </c>
      <c r="M61" s="4"/>
      <c r="N61" s="4"/>
      <c r="O61" s="4"/>
      <c r="P61" s="4"/>
      <c r="Q61" s="4"/>
      <c r="R61" s="4"/>
      <c r="S61" s="3">
        <f t="shared" si="1"/>
        <v>0</v>
      </c>
      <c r="T61" s="5"/>
    </row>
    <row r="62" spans="1:20" x14ac:dyDescent="0.25">
      <c r="A62" s="3" t="s">
        <v>245</v>
      </c>
      <c r="B62" s="3" t="s">
        <v>246</v>
      </c>
      <c r="C62" s="3">
        <v>1</v>
      </c>
      <c r="D62" s="3">
        <v>8</v>
      </c>
      <c r="E62" s="2" t="s">
        <v>361</v>
      </c>
      <c r="F62" s="3">
        <v>3</v>
      </c>
      <c r="G62" s="4" t="s">
        <v>572</v>
      </c>
      <c r="H62" s="4"/>
      <c r="I62" s="4"/>
      <c r="J62" s="4"/>
      <c r="K62" s="4"/>
      <c r="L62" s="3">
        <f t="shared" si="0"/>
        <v>3</v>
      </c>
      <c r="M62" s="4"/>
      <c r="N62" s="4"/>
      <c r="O62" s="4"/>
      <c r="P62" s="4"/>
      <c r="Q62" s="4"/>
      <c r="R62" s="4"/>
      <c r="S62" s="3">
        <f t="shared" si="1"/>
        <v>0</v>
      </c>
      <c r="T62" s="5"/>
    </row>
    <row r="63" spans="1:20" x14ac:dyDescent="0.25">
      <c r="A63" s="3" t="s">
        <v>245</v>
      </c>
      <c r="B63" s="3" t="s">
        <v>246</v>
      </c>
      <c r="C63" s="3">
        <v>1</v>
      </c>
      <c r="D63" s="3">
        <v>9</v>
      </c>
      <c r="E63" s="2" t="s">
        <v>362</v>
      </c>
      <c r="F63" s="3">
        <v>8</v>
      </c>
      <c r="G63" s="4" t="s">
        <v>572</v>
      </c>
      <c r="H63" s="4"/>
      <c r="I63" s="4"/>
      <c r="J63" s="4"/>
      <c r="K63" s="4"/>
      <c r="L63" s="3">
        <f t="shared" si="0"/>
        <v>8</v>
      </c>
      <c r="M63" s="4"/>
      <c r="N63" s="4"/>
      <c r="O63" s="4"/>
      <c r="P63" s="4"/>
      <c r="Q63" s="4"/>
      <c r="R63" s="4"/>
      <c r="S63" s="3">
        <f t="shared" si="1"/>
        <v>0</v>
      </c>
      <c r="T63" s="5"/>
    </row>
    <row r="64" spans="1:20" ht="28.5" x14ac:dyDescent="0.25">
      <c r="A64" s="3" t="s">
        <v>245</v>
      </c>
      <c r="B64" s="3" t="s">
        <v>246</v>
      </c>
      <c r="C64" s="3">
        <v>1</v>
      </c>
      <c r="D64" s="3">
        <v>10</v>
      </c>
      <c r="E64" s="2" t="s">
        <v>363</v>
      </c>
      <c r="F64" s="3">
        <v>7</v>
      </c>
      <c r="G64" s="4" t="s">
        <v>572</v>
      </c>
      <c r="H64" s="4"/>
      <c r="I64" s="4"/>
      <c r="J64" s="4"/>
      <c r="K64" s="4"/>
      <c r="L64" s="3">
        <f t="shared" si="0"/>
        <v>7</v>
      </c>
      <c r="M64" s="4"/>
      <c r="N64" s="4"/>
      <c r="O64" s="4"/>
      <c r="P64" s="4"/>
      <c r="Q64" s="4"/>
      <c r="R64" s="4"/>
      <c r="S64" s="3">
        <f t="shared" si="1"/>
        <v>0</v>
      </c>
      <c r="T64" s="5"/>
    </row>
    <row r="65" spans="1:20" ht="28.5" x14ac:dyDescent="0.25">
      <c r="A65" s="3" t="s">
        <v>245</v>
      </c>
      <c r="B65" s="3" t="s">
        <v>246</v>
      </c>
      <c r="C65" s="3">
        <v>1</v>
      </c>
      <c r="D65" s="3">
        <v>11</v>
      </c>
      <c r="E65" s="2" t="s">
        <v>364</v>
      </c>
      <c r="F65" s="3">
        <v>14</v>
      </c>
      <c r="G65" s="4" t="s">
        <v>572</v>
      </c>
      <c r="H65" s="4"/>
      <c r="I65" s="4"/>
      <c r="J65" s="4"/>
      <c r="K65" s="4"/>
      <c r="L65" s="3">
        <f t="shared" si="0"/>
        <v>14</v>
      </c>
      <c r="M65" s="4"/>
      <c r="N65" s="4"/>
      <c r="O65" s="4"/>
      <c r="P65" s="4"/>
      <c r="Q65" s="4"/>
      <c r="R65" s="4"/>
      <c r="S65" s="3">
        <f t="shared" si="1"/>
        <v>0</v>
      </c>
      <c r="T65" s="5"/>
    </row>
    <row r="66" spans="1:20" x14ac:dyDescent="0.25">
      <c r="A66" s="3" t="s">
        <v>249</v>
      </c>
      <c r="B66" s="3" t="s">
        <v>246</v>
      </c>
      <c r="C66" s="3">
        <v>2</v>
      </c>
      <c r="D66" s="3">
        <v>1</v>
      </c>
      <c r="E66" s="2" t="s">
        <v>365</v>
      </c>
      <c r="F66" s="3">
        <v>2</v>
      </c>
      <c r="G66" s="4" t="s">
        <v>572</v>
      </c>
      <c r="H66" s="4"/>
      <c r="I66" s="4"/>
      <c r="J66" s="4"/>
      <c r="K66" s="4"/>
      <c r="L66" s="3">
        <f t="shared" ref="L66:L129" si="2">F66-(H66+I66+J66+K66)</f>
        <v>2</v>
      </c>
      <c r="M66" s="4"/>
      <c r="N66" s="4"/>
      <c r="O66" s="4"/>
      <c r="P66" s="4"/>
      <c r="Q66" s="4"/>
      <c r="R66" s="4"/>
      <c r="S66" s="3">
        <f t="shared" ref="S66:S129" si="3">N66+O66+P66+Q66+R66</f>
        <v>0</v>
      </c>
      <c r="T66" s="5"/>
    </row>
    <row r="67" spans="1:20" x14ac:dyDescent="0.25">
      <c r="A67" s="3" t="s">
        <v>249</v>
      </c>
      <c r="B67" s="3" t="s">
        <v>246</v>
      </c>
      <c r="C67" s="3">
        <v>2</v>
      </c>
      <c r="D67" s="3">
        <v>2</v>
      </c>
      <c r="E67" s="2" t="s">
        <v>354</v>
      </c>
      <c r="F67" s="3">
        <v>4</v>
      </c>
      <c r="G67" s="4" t="s">
        <v>572</v>
      </c>
      <c r="H67" s="4"/>
      <c r="I67" s="4"/>
      <c r="J67" s="4"/>
      <c r="K67" s="4"/>
      <c r="L67" s="3">
        <f t="shared" si="2"/>
        <v>4</v>
      </c>
      <c r="M67" s="4"/>
      <c r="N67" s="4"/>
      <c r="O67" s="4"/>
      <c r="P67" s="4"/>
      <c r="Q67" s="4"/>
      <c r="R67" s="4"/>
      <c r="S67" s="3">
        <f t="shared" si="3"/>
        <v>0</v>
      </c>
      <c r="T67" s="5"/>
    </row>
    <row r="68" spans="1:20" x14ac:dyDescent="0.25">
      <c r="A68" s="3" t="s">
        <v>249</v>
      </c>
      <c r="B68" s="3" t="s">
        <v>246</v>
      </c>
      <c r="C68" s="3">
        <v>2</v>
      </c>
      <c r="D68" s="3">
        <v>3</v>
      </c>
      <c r="E68" s="2" t="s">
        <v>366</v>
      </c>
      <c r="F68" s="3">
        <v>4</v>
      </c>
      <c r="G68" s="4" t="s">
        <v>572</v>
      </c>
      <c r="H68" s="4"/>
      <c r="I68" s="4"/>
      <c r="J68" s="4"/>
      <c r="K68" s="4"/>
      <c r="L68" s="3">
        <f t="shared" si="2"/>
        <v>4</v>
      </c>
      <c r="M68" s="4"/>
      <c r="N68" s="4"/>
      <c r="O68" s="4"/>
      <c r="P68" s="4"/>
      <c r="Q68" s="4"/>
      <c r="R68" s="4"/>
      <c r="S68" s="3">
        <f t="shared" si="3"/>
        <v>0</v>
      </c>
      <c r="T68" s="5"/>
    </row>
    <row r="69" spans="1:20" ht="28.5" x14ac:dyDescent="0.25">
      <c r="A69" s="3" t="s">
        <v>249</v>
      </c>
      <c r="B69" s="3" t="s">
        <v>246</v>
      </c>
      <c r="C69" s="3">
        <v>2</v>
      </c>
      <c r="D69" s="3">
        <v>4</v>
      </c>
      <c r="E69" s="2" t="s">
        <v>367</v>
      </c>
      <c r="F69" s="3">
        <v>5</v>
      </c>
      <c r="G69" s="4" t="s">
        <v>573</v>
      </c>
      <c r="H69" s="4"/>
      <c r="I69" s="4"/>
      <c r="J69" s="4"/>
      <c r="K69" s="4"/>
      <c r="L69" s="3">
        <f t="shared" si="2"/>
        <v>5</v>
      </c>
      <c r="M69" s="4"/>
      <c r="N69" s="4"/>
      <c r="O69" s="4"/>
      <c r="P69" s="4"/>
      <c r="Q69" s="4"/>
      <c r="R69" s="4"/>
      <c r="S69" s="3">
        <f t="shared" si="3"/>
        <v>0</v>
      </c>
      <c r="T69" s="5"/>
    </row>
    <row r="70" spans="1:20" x14ac:dyDescent="0.25">
      <c r="A70" s="3" t="s">
        <v>249</v>
      </c>
      <c r="B70" s="3" t="s">
        <v>246</v>
      </c>
      <c r="C70" s="3">
        <v>2</v>
      </c>
      <c r="D70" s="3">
        <v>5</v>
      </c>
      <c r="E70" s="2" t="s">
        <v>368</v>
      </c>
      <c r="F70" s="3">
        <v>5</v>
      </c>
      <c r="G70" s="4" t="s">
        <v>572</v>
      </c>
      <c r="H70" s="4"/>
      <c r="I70" s="4"/>
      <c r="J70" s="4"/>
      <c r="K70" s="4"/>
      <c r="L70" s="3">
        <f t="shared" si="2"/>
        <v>5</v>
      </c>
      <c r="M70" s="4"/>
      <c r="N70" s="4"/>
      <c r="O70" s="4"/>
      <c r="P70" s="4"/>
      <c r="Q70" s="4"/>
      <c r="R70" s="4"/>
      <c r="S70" s="3">
        <f t="shared" si="3"/>
        <v>0</v>
      </c>
      <c r="T70" s="5"/>
    </row>
    <row r="71" spans="1:20" x14ac:dyDescent="0.25">
      <c r="A71" s="3" t="s">
        <v>249</v>
      </c>
      <c r="B71" s="3" t="s">
        <v>246</v>
      </c>
      <c r="C71" s="3">
        <v>2</v>
      </c>
      <c r="D71" s="3">
        <v>6</v>
      </c>
      <c r="E71" s="2" t="s">
        <v>369</v>
      </c>
      <c r="F71" s="3">
        <v>2</v>
      </c>
      <c r="G71" s="4" t="s">
        <v>572</v>
      </c>
      <c r="H71" s="4"/>
      <c r="I71" s="4"/>
      <c r="J71" s="4"/>
      <c r="K71" s="4"/>
      <c r="L71" s="3">
        <f t="shared" si="2"/>
        <v>2</v>
      </c>
      <c r="M71" s="4"/>
      <c r="N71" s="4"/>
      <c r="O71" s="4"/>
      <c r="P71" s="4"/>
      <c r="Q71" s="4"/>
      <c r="R71" s="4"/>
      <c r="S71" s="3">
        <f t="shared" si="3"/>
        <v>0</v>
      </c>
      <c r="T71" s="5"/>
    </row>
    <row r="72" spans="1:20" x14ac:dyDescent="0.25">
      <c r="A72" s="3" t="s">
        <v>249</v>
      </c>
      <c r="B72" s="3" t="s">
        <v>246</v>
      </c>
      <c r="C72" s="3">
        <v>2</v>
      </c>
      <c r="D72" s="3">
        <v>7</v>
      </c>
      <c r="E72" s="2" t="s">
        <v>359</v>
      </c>
      <c r="F72" s="3">
        <v>3</v>
      </c>
      <c r="G72" s="4" t="s">
        <v>572</v>
      </c>
      <c r="H72" s="4"/>
      <c r="I72" s="4"/>
      <c r="J72" s="4"/>
      <c r="K72" s="4"/>
      <c r="L72" s="3">
        <f t="shared" si="2"/>
        <v>3</v>
      </c>
      <c r="M72" s="4"/>
      <c r="N72" s="4"/>
      <c r="O72" s="4"/>
      <c r="P72" s="4"/>
      <c r="Q72" s="4"/>
      <c r="R72" s="4"/>
      <c r="S72" s="3">
        <f t="shared" si="3"/>
        <v>0</v>
      </c>
      <c r="T72" s="5"/>
    </row>
    <row r="73" spans="1:20" x14ac:dyDescent="0.25">
      <c r="A73" s="3" t="s">
        <v>249</v>
      </c>
      <c r="B73" s="3" t="s">
        <v>246</v>
      </c>
      <c r="C73" s="3">
        <v>2</v>
      </c>
      <c r="D73" s="3">
        <v>8</v>
      </c>
      <c r="E73" s="2" t="s">
        <v>370</v>
      </c>
      <c r="F73" s="3">
        <v>5</v>
      </c>
      <c r="G73" s="4" t="s">
        <v>572</v>
      </c>
      <c r="H73" s="4"/>
      <c r="I73" s="4"/>
      <c r="J73" s="4"/>
      <c r="K73" s="4"/>
      <c r="L73" s="3">
        <f t="shared" si="2"/>
        <v>5</v>
      </c>
      <c r="M73" s="4"/>
      <c r="N73" s="4"/>
      <c r="O73" s="4"/>
      <c r="P73" s="4"/>
      <c r="Q73" s="4"/>
      <c r="R73" s="4"/>
      <c r="S73" s="3">
        <f t="shared" si="3"/>
        <v>0</v>
      </c>
      <c r="T73" s="5"/>
    </row>
    <row r="74" spans="1:20" x14ac:dyDescent="0.25">
      <c r="A74" s="3" t="s">
        <v>249</v>
      </c>
      <c r="B74" s="3" t="s">
        <v>246</v>
      </c>
      <c r="C74" s="3">
        <v>2</v>
      </c>
      <c r="D74" s="3">
        <v>9</v>
      </c>
      <c r="E74" s="2" t="s">
        <v>371</v>
      </c>
      <c r="F74" s="3">
        <v>4</v>
      </c>
      <c r="G74" s="4" t="s">
        <v>572</v>
      </c>
      <c r="H74" s="4"/>
      <c r="I74" s="4"/>
      <c r="J74" s="4"/>
      <c r="K74" s="4"/>
      <c r="L74" s="3">
        <f t="shared" si="2"/>
        <v>4</v>
      </c>
      <c r="M74" s="4"/>
      <c r="N74" s="4"/>
      <c r="O74" s="4"/>
      <c r="P74" s="4"/>
      <c r="Q74" s="4"/>
      <c r="R74" s="4"/>
      <c r="S74" s="3">
        <f t="shared" si="3"/>
        <v>0</v>
      </c>
      <c r="T74" s="5"/>
    </row>
    <row r="75" spans="1:20" x14ac:dyDescent="0.25">
      <c r="A75" s="3" t="s">
        <v>249</v>
      </c>
      <c r="B75" s="3" t="s">
        <v>246</v>
      </c>
      <c r="C75" s="3">
        <v>2</v>
      </c>
      <c r="D75" s="3">
        <v>10</v>
      </c>
      <c r="E75" s="2" t="s">
        <v>372</v>
      </c>
      <c r="F75" s="3">
        <v>8</v>
      </c>
      <c r="G75" s="4" t="s">
        <v>572</v>
      </c>
      <c r="H75" s="4"/>
      <c r="I75" s="4"/>
      <c r="J75" s="4"/>
      <c r="K75" s="4"/>
      <c r="L75" s="3">
        <f t="shared" si="2"/>
        <v>8</v>
      </c>
      <c r="M75" s="4"/>
      <c r="N75" s="4"/>
      <c r="O75" s="4"/>
      <c r="P75" s="4"/>
      <c r="Q75" s="4"/>
      <c r="R75" s="4"/>
      <c r="S75" s="3">
        <f t="shared" si="3"/>
        <v>0</v>
      </c>
      <c r="T75" s="5"/>
    </row>
    <row r="76" spans="1:20" ht="28.5" x14ac:dyDescent="0.25">
      <c r="A76" s="3" t="s">
        <v>249</v>
      </c>
      <c r="B76" s="3" t="s">
        <v>246</v>
      </c>
      <c r="C76" s="3">
        <v>2</v>
      </c>
      <c r="D76" s="3">
        <v>11</v>
      </c>
      <c r="E76" s="2" t="s">
        <v>373</v>
      </c>
      <c r="F76" s="3">
        <v>7</v>
      </c>
      <c r="G76" s="4" t="s">
        <v>572</v>
      </c>
      <c r="H76" s="4"/>
      <c r="I76" s="4"/>
      <c r="J76" s="4"/>
      <c r="K76" s="4"/>
      <c r="L76" s="3">
        <f t="shared" si="2"/>
        <v>7</v>
      </c>
      <c r="M76" s="4"/>
      <c r="N76" s="4"/>
      <c r="O76" s="4"/>
      <c r="P76" s="4"/>
      <c r="Q76" s="4"/>
      <c r="R76" s="4"/>
      <c r="S76" s="3">
        <f t="shared" si="3"/>
        <v>0</v>
      </c>
      <c r="T76" s="5"/>
    </row>
    <row r="77" spans="1:20" ht="28.5" x14ac:dyDescent="0.25">
      <c r="A77" s="3" t="s">
        <v>249</v>
      </c>
      <c r="B77" s="3" t="s">
        <v>246</v>
      </c>
      <c r="C77" s="3">
        <v>2</v>
      </c>
      <c r="D77" s="3">
        <v>12</v>
      </c>
      <c r="E77" s="2" t="s">
        <v>374</v>
      </c>
      <c r="F77" s="3">
        <v>14</v>
      </c>
      <c r="G77" s="4" t="s">
        <v>572</v>
      </c>
      <c r="H77" s="4"/>
      <c r="I77" s="4"/>
      <c r="J77" s="4"/>
      <c r="K77" s="4"/>
      <c r="L77" s="3">
        <f t="shared" si="2"/>
        <v>14</v>
      </c>
      <c r="M77" s="4"/>
      <c r="N77" s="4"/>
      <c r="O77" s="4"/>
      <c r="P77" s="4"/>
      <c r="Q77" s="4"/>
      <c r="R77" s="4"/>
      <c r="S77" s="3">
        <f t="shared" si="3"/>
        <v>0</v>
      </c>
      <c r="T77" s="5"/>
    </row>
    <row r="78" spans="1:20" x14ac:dyDescent="0.25">
      <c r="A78" s="3" t="s">
        <v>249</v>
      </c>
      <c r="B78" s="3" t="s">
        <v>246</v>
      </c>
      <c r="C78" s="3">
        <v>2</v>
      </c>
      <c r="D78" s="3">
        <v>13</v>
      </c>
      <c r="E78" s="2" t="s">
        <v>375</v>
      </c>
      <c r="F78" s="3">
        <v>1</v>
      </c>
      <c r="G78" s="4" t="s">
        <v>572</v>
      </c>
      <c r="H78" s="4"/>
      <c r="I78" s="4"/>
      <c r="J78" s="4"/>
      <c r="K78" s="4"/>
      <c r="L78" s="3">
        <f t="shared" si="2"/>
        <v>1</v>
      </c>
      <c r="M78" s="4"/>
      <c r="N78" s="4"/>
      <c r="O78" s="4"/>
      <c r="P78" s="4"/>
      <c r="Q78" s="4"/>
      <c r="R78" s="4"/>
      <c r="S78" s="3">
        <f t="shared" si="3"/>
        <v>0</v>
      </c>
      <c r="T78" s="5"/>
    </row>
    <row r="79" spans="1:20" ht="28.5" x14ac:dyDescent="0.25">
      <c r="A79" s="3" t="s">
        <v>249</v>
      </c>
      <c r="B79" s="3" t="s">
        <v>246</v>
      </c>
      <c r="C79" s="3">
        <v>2</v>
      </c>
      <c r="D79" s="3">
        <v>14</v>
      </c>
      <c r="E79" s="2" t="s">
        <v>376</v>
      </c>
      <c r="F79" s="3">
        <v>9</v>
      </c>
      <c r="G79" s="4" t="s">
        <v>572</v>
      </c>
      <c r="H79" s="4"/>
      <c r="I79" s="4"/>
      <c r="J79" s="4"/>
      <c r="K79" s="4"/>
      <c r="L79" s="3">
        <f t="shared" si="2"/>
        <v>9</v>
      </c>
      <c r="M79" s="4"/>
      <c r="N79" s="4"/>
      <c r="O79" s="4"/>
      <c r="P79" s="4"/>
      <c r="Q79" s="4"/>
      <c r="R79" s="4"/>
      <c r="S79" s="3">
        <f t="shared" si="3"/>
        <v>0</v>
      </c>
      <c r="T79" s="5"/>
    </row>
    <row r="80" spans="1:20" ht="28.5" x14ac:dyDescent="0.25">
      <c r="A80" s="3" t="s">
        <v>249</v>
      </c>
      <c r="B80" s="3" t="s">
        <v>246</v>
      </c>
      <c r="C80" s="3">
        <v>2</v>
      </c>
      <c r="D80" s="3">
        <v>15</v>
      </c>
      <c r="E80" s="2" t="s">
        <v>377</v>
      </c>
      <c r="F80" s="3">
        <v>5</v>
      </c>
      <c r="G80" s="4" t="s">
        <v>573</v>
      </c>
      <c r="H80" s="4"/>
      <c r="I80" s="4"/>
      <c r="J80" s="4"/>
      <c r="K80" s="4"/>
      <c r="L80" s="3">
        <f t="shared" si="2"/>
        <v>5</v>
      </c>
      <c r="M80" s="4"/>
      <c r="N80" s="4"/>
      <c r="O80" s="4"/>
      <c r="P80" s="4"/>
      <c r="Q80" s="4"/>
      <c r="R80" s="4"/>
      <c r="S80" s="3">
        <f t="shared" si="3"/>
        <v>0</v>
      </c>
      <c r="T80" s="5"/>
    </row>
    <row r="81" spans="1:20" x14ac:dyDescent="0.25">
      <c r="A81" s="3" t="s">
        <v>249</v>
      </c>
      <c r="B81" s="3" t="s">
        <v>246</v>
      </c>
      <c r="C81" s="3">
        <v>2</v>
      </c>
      <c r="D81" s="3">
        <v>16</v>
      </c>
      <c r="E81" s="2" t="s">
        <v>378</v>
      </c>
      <c r="F81" s="3">
        <v>7</v>
      </c>
      <c r="G81" s="4" t="s">
        <v>572</v>
      </c>
      <c r="H81" s="4"/>
      <c r="I81" s="4"/>
      <c r="J81" s="4"/>
      <c r="K81" s="4"/>
      <c r="L81" s="3">
        <f t="shared" si="2"/>
        <v>7</v>
      </c>
      <c r="M81" s="4"/>
      <c r="N81" s="4"/>
      <c r="O81" s="4"/>
      <c r="P81" s="4"/>
      <c r="Q81" s="4"/>
      <c r="R81" s="4"/>
      <c r="S81" s="3">
        <f t="shared" si="3"/>
        <v>0</v>
      </c>
      <c r="T81" s="5"/>
    </row>
    <row r="82" spans="1:20" ht="28.5" x14ac:dyDescent="0.25">
      <c r="A82" s="3" t="s">
        <v>249</v>
      </c>
      <c r="B82" s="3" t="s">
        <v>246</v>
      </c>
      <c r="C82" s="3">
        <v>2</v>
      </c>
      <c r="D82" s="3">
        <v>17</v>
      </c>
      <c r="E82" s="2" t="s">
        <v>379</v>
      </c>
      <c r="F82" s="3">
        <v>6</v>
      </c>
      <c r="G82" s="4" t="s">
        <v>572</v>
      </c>
      <c r="H82" s="4"/>
      <c r="I82" s="4"/>
      <c r="J82" s="4"/>
      <c r="K82" s="4"/>
      <c r="L82" s="3">
        <f t="shared" si="2"/>
        <v>6</v>
      </c>
      <c r="M82" s="4"/>
      <c r="N82" s="4"/>
      <c r="O82" s="4"/>
      <c r="P82" s="4"/>
      <c r="Q82" s="4"/>
      <c r="R82" s="4"/>
      <c r="S82" s="3">
        <f t="shared" si="3"/>
        <v>0</v>
      </c>
      <c r="T82" s="5"/>
    </row>
    <row r="83" spans="1:20" ht="28.5" x14ac:dyDescent="0.25">
      <c r="A83" s="3" t="s">
        <v>249</v>
      </c>
      <c r="B83" s="3" t="s">
        <v>246</v>
      </c>
      <c r="C83" s="3">
        <v>2</v>
      </c>
      <c r="D83" s="3">
        <v>18</v>
      </c>
      <c r="E83" s="2" t="s">
        <v>380</v>
      </c>
      <c r="F83" s="3">
        <v>1</v>
      </c>
      <c r="G83" s="9" t="s">
        <v>572</v>
      </c>
      <c r="H83" s="4"/>
      <c r="I83" s="4"/>
      <c r="J83" s="4"/>
      <c r="K83" s="4"/>
      <c r="L83" s="3">
        <f t="shared" si="2"/>
        <v>1</v>
      </c>
      <c r="M83" s="4"/>
      <c r="N83" s="4"/>
      <c r="O83" s="4"/>
      <c r="P83" s="4"/>
      <c r="Q83" s="4"/>
      <c r="R83" s="4"/>
      <c r="S83" s="3">
        <f t="shared" si="3"/>
        <v>0</v>
      </c>
      <c r="T83" s="5" t="s">
        <v>576</v>
      </c>
    </row>
    <row r="84" spans="1:20" ht="28.5" x14ac:dyDescent="0.25">
      <c r="A84" s="3" t="s">
        <v>249</v>
      </c>
      <c r="B84" s="3" t="s">
        <v>246</v>
      </c>
      <c r="C84" s="3">
        <v>2</v>
      </c>
      <c r="D84" s="3">
        <v>19</v>
      </c>
      <c r="E84" s="2" t="s">
        <v>381</v>
      </c>
      <c r="F84" s="3">
        <v>9</v>
      </c>
      <c r="G84" s="4" t="s">
        <v>572</v>
      </c>
      <c r="H84" s="4"/>
      <c r="I84" s="4"/>
      <c r="J84" s="4"/>
      <c r="K84" s="4"/>
      <c r="L84" s="3">
        <f t="shared" si="2"/>
        <v>9</v>
      </c>
      <c r="M84" s="4"/>
      <c r="N84" s="4"/>
      <c r="O84" s="4"/>
      <c r="P84" s="4"/>
      <c r="Q84" s="4"/>
      <c r="R84" s="4"/>
      <c r="S84" s="3">
        <f t="shared" si="3"/>
        <v>0</v>
      </c>
      <c r="T84" s="5" t="s">
        <v>577</v>
      </c>
    </row>
    <row r="85" spans="1:20" x14ac:dyDescent="0.25">
      <c r="A85" s="3" t="s">
        <v>249</v>
      </c>
      <c r="B85" s="3" t="s">
        <v>246</v>
      </c>
      <c r="C85" s="3">
        <v>2</v>
      </c>
      <c r="D85" s="3">
        <v>20</v>
      </c>
      <c r="E85" s="2" t="s">
        <v>382</v>
      </c>
      <c r="F85" s="3">
        <v>5</v>
      </c>
      <c r="G85" s="4" t="s">
        <v>572</v>
      </c>
      <c r="H85" s="4"/>
      <c r="I85" s="4"/>
      <c r="J85" s="4"/>
      <c r="K85" s="4"/>
      <c r="L85" s="3">
        <f t="shared" si="2"/>
        <v>5</v>
      </c>
      <c r="M85" s="4"/>
      <c r="N85" s="4"/>
      <c r="O85" s="4"/>
      <c r="P85" s="4"/>
      <c r="Q85" s="4"/>
      <c r="R85" s="4"/>
      <c r="S85" s="3">
        <f t="shared" si="3"/>
        <v>0</v>
      </c>
      <c r="T85" s="5"/>
    </row>
    <row r="86" spans="1:20" ht="28.5" x14ac:dyDescent="0.25">
      <c r="A86" s="3" t="s">
        <v>249</v>
      </c>
      <c r="B86" s="3" t="s">
        <v>246</v>
      </c>
      <c r="C86" s="3">
        <v>2</v>
      </c>
      <c r="D86" s="3">
        <v>21</v>
      </c>
      <c r="E86" s="2" t="s">
        <v>383</v>
      </c>
      <c r="F86" s="3">
        <v>13</v>
      </c>
      <c r="G86" s="4" t="s">
        <v>572</v>
      </c>
      <c r="H86" s="4"/>
      <c r="I86" s="4"/>
      <c r="J86" s="4"/>
      <c r="K86" s="4"/>
      <c r="L86" s="3">
        <f t="shared" si="2"/>
        <v>13</v>
      </c>
      <c r="M86" s="4"/>
      <c r="N86" s="4"/>
      <c r="O86" s="4"/>
      <c r="P86" s="4"/>
      <c r="Q86" s="4"/>
      <c r="R86" s="4"/>
      <c r="S86" s="3">
        <f t="shared" si="3"/>
        <v>0</v>
      </c>
      <c r="T86" s="5"/>
    </row>
    <row r="87" spans="1:20" ht="28.5" x14ac:dyDescent="0.25">
      <c r="A87" s="3" t="s">
        <v>251</v>
      </c>
      <c r="B87" s="3" t="s">
        <v>246</v>
      </c>
      <c r="C87" s="3">
        <v>3</v>
      </c>
      <c r="D87" s="3">
        <v>1</v>
      </c>
      <c r="E87" s="2" t="s">
        <v>384</v>
      </c>
      <c r="F87" s="3">
        <v>6</v>
      </c>
      <c r="G87" s="4" t="s">
        <v>573</v>
      </c>
      <c r="H87" s="4">
        <v>1</v>
      </c>
      <c r="I87" s="4"/>
      <c r="J87" s="4"/>
      <c r="K87" s="4"/>
      <c r="L87" s="3">
        <f t="shared" si="2"/>
        <v>5</v>
      </c>
      <c r="M87" s="4"/>
      <c r="N87" s="4"/>
      <c r="O87" s="4"/>
      <c r="P87" s="4"/>
      <c r="Q87" s="4"/>
      <c r="R87" s="4"/>
      <c r="S87" s="3">
        <f t="shared" si="3"/>
        <v>0</v>
      </c>
      <c r="T87" s="5"/>
    </row>
    <row r="88" spans="1:20" x14ac:dyDescent="0.25">
      <c r="A88" s="3" t="s">
        <v>251</v>
      </c>
      <c r="B88" s="3" t="s">
        <v>246</v>
      </c>
      <c r="C88" s="3">
        <v>3</v>
      </c>
      <c r="D88" s="3">
        <v>2</v>
      </c>
      <c r="E88" s="2" t="s">
        <v>385</v>
      </c>
      <c r="F88" s="3">
        <v>4</v>
      </c>
      <c r="G88" s="4" t="s">
        <v>572</v>
      </c>
      <c r="H88" s="4"/>
      <c r="I88" s="4"/>
      <c r="J88" s="4"/>
      <c r="K88" s="4"/>
      <c r="L88" s="3">
        <f t="shared" si="2"/>
        <v>4</v>
      </c>
      <c r="M88" s="4"/>
      <c r="N88" s="4"/>
      <c r="O88" s="4"/>
      <c r="P88" s="4"/>
      <c r="Q88" s="4"/>
      <c r="R88" s="4"/>
      <c r="S88" s="3">
        <f t="shared" si="3"/>
        <v>0</v>
      </c>
      <c r="T88" s="5"/>
    </row>
    <row r="89" spans="1:20" x14ac:dyDescent="0.25">
      <c r="A89" s="3" t="s">
        <v>251</v>
      </c>
      <c r="B89" s="3" t="s">
        <v>246</v>
      </c>
      <c r="C89" s="3">
        <v>3</v>
      </c>
      <c r="D89" s="3">
        <v>3</v>
      </c>
      <c r="E89" s="2" t="s">
        <v>386</v>
      </c>
      <c r="F89" s="3">
        <v>6</v>
      </c>
      <c r="G89" s="4" t="s">
        <v>572</v>
      </c>
      <c r="H89" s="4"/>
      <c r="I89" s="4"/>
      <c r="J89" s="4"/>
      <c r="K89" s="4"/>
      <c r="L89" s="3">
        <f t="shared" si="2"/>
        <v>6</v>
      </c>
      <c r="M89" s="4"/>
      <c r="N89" s="4"/>
      <c r="O89" s="4"/>
      <c r="P89" s="4"/>
      <c r="Q89" s="4"/>
      <c r="R89" s="4"/>
      <c r="S89" s="3">
        <f t="shared" si="3"/>
        <v>0</v>
      </c>
      <c r="T89" s="5"/>
    </row>
    <row r="90" spans="1:20" x14ac:dyDescent="0.25">
      <c r="A90" s="3" t="s">
        <v>251</v>
      </c>
      <c r="B90" s="3" t="s">
        <v>246</v>
      </c>
      <c r="C90" s="3">
        <v>3</v>
      </c>
      <c r="D90" s="3">
        <v>4</v>
      </c>
      <c r="E90" s="2" t="s">
        <v>387</v>
      </c>
      <c r="F90" s="3">
        <v>5</v>
      </c>
      <c r="G90" s="4" t="s">
        <v>572</v>
      </c>
      <c r="H90" s="4"/>
      <c r="I90" s="4"/>
      <c r="J90" s="4"/>
      <c r="K90" s="4"/>
      <c r="L90" s="3">
        <f t="shared" si="2"/>
        <v>5</v>
      </c>
      <c r="M90" s="4"/>
      <c r="N90" s="4"/>
      <c r="O90" s="4"/>
      <c r="P90" s="4"/>
      <c r="Q90" s="4"/>
      <c r="R90" s="4"/>
      <c r="S90" s="3">
        <f t="shared" si="3"/>
        <v>0</v>
      </c>
      <c r="T90" s="5"/>
    </row>
    <row r="91" spans="1:20" x14ac:dyDescent="0.25">
      <c r="A91" s="3" t="s">
        <v>251</v>
      </c>
      <c r="B91" s="3" t="s">
        <v>246</v>
      </c>
      <c r="C91" s="3">
        <v>3</v>
      </c>
      <c r="D91" s="3">
        <v>5</v>
      </c>
      <c r="E91" s="2" t="s">
        <v>357</v>
      </c>
      <c r="F91" s="3">
        <v>4</v>
      </c>
      <c r="G91" s="4" t="s">
        <v>572</v>
      </c>
      <c r="H91" s="4"/>
      <c r="I91" s="4"/>
      <c r="J91" s="4"/>
      <c r="K91" s="4"/>
      <c r="L91" s="3">
        <f t="shared" si="2"/>
        <v>4</v>
      </c>
      <c r="M91" s="4"/>
      <c r="N91" s="4"/>
      <c r="O91" s="4"/>
      <c r="P91" s="4"/>
      <c r="Q91" s="4"/>
      <c r="R91" s="4"/>
      <c r="S91" s="3">
        <f t="shared" si="3"/>
        <v>0</v>
      </c>
      <c r="T91" s="5"/>
    </row>
    <row r="92" spans="1:20" x14ac:dyDescent="0.25">
      <c r="A92" s="3" t="s">
        <v>251</v>
      </c>
      <c r="B92" s="3" t="s">
        <v>246</v>
      </c>
      <c r="C92" s="3">
        <v>3</v>
      </c>
      <c r="D92" s="3">
        <v>6</v>
      </c>
      <c r="E92" s="2" t="s">
        <v>369</v>
      </c>
      <c r="F92" s="3">
        <v>2</v>
      </c>
      <c r="G92" s="4" t="s">
        <v>572</v>
      </c>
      <c r="H92" s="4"/>
      <c r="I92" s="4"/>
      <c r="J92" s="4"/>
      <c r="K92" s="4"/>
      <c r="L92" s="3">
        <f t="shared" si="2"/>
        <v>2</v>
      </c>
      <c r="M92" s="4"/>
      <c r="N92" s="4"/>
      <c r="O92" s="4"/>
      <c r="P92" s="4"/>
      <c r="Q92" s="4"/>
      <c r="R92" s="4"/>
      <c r="S92" s="3">
        <f t="shared" si="3"/>
        <v>0</v>
      </c>
      <c r="T92" s="5"/>
    </row>
    <row r="93" spans="1:20" x14ac:dyDescent="0.25">
      <c r="A93" s="3" t="s">
        <v>251</v>
      </c>
      <c r="B93" s="3" t="s">
        <v>246</v>
      </c>
      <c r="C93" s="3">
        <v>3</v>
      </c>
      <c r="D93" s="3">
        <v>7</v>
      </c>
      <c r="E93" s="2" t="s">
        <v>359</v>
      </c>
      <c r="F93" s="3">
        <v>3</v>
      </c>
      <c r="G93" s="4" t="s">
        <v>572</v>
      </c>
      <c r="H93" s="4"/>
      <c r="I93" s="4"/>
      <c r="J93" s="4"/>
      <c r="K93" s="4"/>
      <c r="L93" s="3">
        <f t="shared" si="2"/>
        <v>3</v>
      </c>
      <c r="M93" s="4"/>
      <c r="N93" s="4"/>
      <c r="O93" s="4"/>
      <c r="P93" s="4"/>
      <c r="Q93" s="4"/>
      <c r="R93" s="4"/>
      <c r="S93" s="3">
        <f t="shared" si="3"/>
        <v>0</v>
      </c>
      <c r="T93" s="5"/>
    </row>
    <row r="94" spans="1:20" x14ac:dyDescent="0.25">
      <c r="A94" s="3" t="s">
        <v>251</v>
      </c>
      <c r="B94" s="3" t="s">
        <v>246</v>
      </c>
      <c r="C94" s="3">
        <v>3</v>
      </c>
      <c r="D94" s="3">
        <v>8</v>
      </c>
      <c r="E94" s="2" t="s">
        <v>388</v>
      </c>
      <c r="F94" s="3">
        <v>3</v>
      </c>
      <c r="G94" s="4" t="s">
        <v>572</v>
      </c>
      <c r="H94" s="4"/>
      <c r="I94" s="4"/>
      <c r="J94" s="4"/>
      <c r="K94" s="4"/>
      <c r="L94" s="3">
        <f t="shared" si="2"/>
        <v>3</v>
      </c>
      <c r="M94" s="4"/>
      <c r="N94" s="4"/>
      <c r="O94" s="4"/>
      <c r="P94" s="4"/>
      <c r="Q94" s="4"/>
      <c r="R94" s="4"/>
      <c r="S94" s="3">
        <f t="shared" si="3"/>
        <v>0</v>
      </c>
      <c r="T94" s="5"/>
    </row>
    <row r="95" spans="1:20" x14ac:dyDescent="0.25">
      <c r="A95" s="3" t="s">
        <v>251</v>
      </c>
      <c r="B95" s="3" t="s">
        <v>246</v>
      </c>
      <c r="C95" s="3">
        <v>3</v>
      </c>
      <c r="D95" s="3">
        <v>9</v>
      </c>
      <c r="E95" s="2" t="s">
        <v>361</v>
      </c>
      <c r="F95" s="3">
        <v>3</v>
      </c>
      <c r="G95" s="4" t="s">
        <v>572</v>
      </c>
      <c r="H95" s="4"/>
      <c r="I95" s="4"/>
      <c r="J95" s="4"/>
      <c r="K95" s="4"/>
      <c r="L95" s="3">
        <f t="shared" si="2"/>
        <v>3</v>
      </c>
      <c r="M95" s="4"/>
      <c r="N95" s="4"/>
      <c r="O95" s="4"/>
      <c r="P95" s="4"/>
      <c r="Q95" s="4"/>
      <c r="R95" s="4"/>
      <c r="S95" s="3">
        <f t="shared" si="3"/>
        <v>0</v>
      </c>
      <c r="T95" s="5"/>
    </row>
    <row r="96" spans="1:20" x14ac:dyDescent="0.25">
      <c r="A96" s="3" t="s">
        <v>251</v>
      </c>
      <c r="B96" s="3" t="s">
        <v>246</v>
      </c>
      <c r="C96" s="3">
        <v>3</v>
      </c>
      <c r="D96" s="3">
        <v>10</v>
      </c>
      <c r="E96" s="2" t="s">
        <v>389</v>
      </c>
      <c r="F96" s="3">
        <v>8</v>
      </c>
      <c r="G96" s="4" t="s">
        <v>572</v>
      </c>
      <c r="H96" s="4"/>
      <c r="I96" s="4"/>
      <c r="J96" s="4"/>
      <c r="K96" s="4"/>
      <c r="L96" s="3">
        <f t="shared" si="2"/>
        <v>8</v>
      </c>
      <c r="M96" s="4"/>
      <c r="N96" s="4"/>
      <c r="O96" s="4"/>
      <c r="P96" s="4"/>
      <c r="Q96" s="4"/>
      <c r="R96" s="4"/>
      <c r="S96" s="3">
        <f t="shared" si="3"/>
        <v>0</v>
      </c>
      <c r="T96" s="5"/>
    </row>
    <row r="97" spans="1:20" ht="28.5" x14ac:dyDescent="0.25">
      <c r="A97" s="3" t="s">
        <v>251</v>
      </c>
      <c r="B97" s="3" t="s">
        <v>246</v>
      </c>
      <c r="C97" s="3">
        <v>3</v>
      </c>
      <c r="D97" s="3">
        <v>11</v>
      </c>
      <c r="E97" s="2" t="s">
        <v>390</v>
      </c>
      <c r="F97" s="3">
        <v>7</v>
      </c>
      <c r="G97" s="4" t="s">
        <v>572</v>
      </c>
      <c r="H97" s="4"/>
      <c r="I97" s="4"/>
      <c r="J97" s="4"/>
      <c r="K97" s="4"/>
      <c r="L97" s="3">
        <f t="shared" si="2"/>
        <v>7</v>
      </c>
      <c r="M97" s="4"/>
      <c r="N97" s="4"/>
      <c r="O97" s="4"/>
      <c r="P97" s="4"/>
      <c r="Q97" s="4"/>
      <c r="R97" s="4"/>
      <c r="S97" s="3">
        <f t="shared" si="3"/>
        <v>0</v>
      </c>
      <c r="T97" s="5"/>
    </row>
    <row r="98" spans="1:20" ht="42.75" x14ac:dyDescent="0.25">
      <c r="A98" s="3" t="s">
        <v>251</v>
      </c>
      <c r="B98" s="3" t="s">
        <v>246</v>
      </c>
      <c r="C98" s="3">
        <v>3</v>
      </c>
      <c r="D98" s="3">
        <v>12</v>
      </c>
      <c r="E98" s="2" t="s">
        <v>391</v>
      </c>
      <c r="F98" s="3">
        <v>16</v>
      </c>
      <c r="G98" s="4" t="s">
        <v>572</v>
      </c>
      <c r="H98" s="4"/>
      <c r="I98" s="4"/>
      <c r="J98" s="4"/>
      <c r="K98" s="4"/>
      <c r="L98" s="3">
        <f t="shared" si="2"/>
        <v>16</v>
      </c>
      <c r="M98" s="4"/>
      <c r="N98" s="4"/>
      <c r="O98" s="4"/>
      <c r="P98" s="4"/>
      <c r="Q98" s="4"/>
      <c r="R98" s="4"/>
      <c r="S98" s="3">
        <f t="shared" si="3"/>
        <v>0</v>
      </c>
      <c r="T98" s="5"/>
    </row>
    <row r="99" spans="1:20" ht="28.5" x14ac:dyDescent="0.25">
      <c r="A99" s="3" t="s">
        <v>253</v>
      </c>
      <c r="B99" s="3" t="s">
        <v>246</v>
      </c>
      <c r="C99" s="3">
        <v>4</v>
      </c>
      <c r="D99" s="3">
        <v>1</v>
      </c>
      <c r="E99" s="2" t="s">
        <v>392</v>
      </c>
      <c r="F99" s="3">
        <v>4</v>
      </c>
      <c r="G99" s="4" t="s">
        <v>573</v>
      </c>
      <c r="H99" s="4">
        <v>1</v>
      </c>
      <c r="I99" s="4"/>
      <c r="J99" s="4"/>
      <c r="K99" s="4"/>
      <c r="L99" s="3">
        <f t="shared" si="2"/>
        <v>3</v>
      </c>
      <c r="M99" s="4"/>
      <c r="N99" s="4"/>
      <c r="O99" s="4"/>
      <c r="P99" s="4"/>
      <c r="Q99" s="4"/>
      <c r="R99" s="4"/>
      <c r="S99" s="3">
        <f t="shared" si="3"/>
        <v>0</v>
      </c>
      <c r="T99" s="5"/>
    </row>
    <row r="100" spans="1:20" x14ac:dyDescent="0.25">
      <c r="A100" s="3" t="s">
        <v>253</v>
      </c>
      <c r="B100" s="3" t="s">
        <v>246</v>
      </c>
      <c r="C100" s="3">
        <v>4</v>
      </c>
      <c r="D100" s="3">
        <v>2</v>
      </c>
      <c r="E100" s="2" t="s">
        <v>354</v>
      </c>
      <c r="F100" s="3">
        <v>4</v>
      </c>
      <c r="G100" s="4" t="s">
        <v>572</v>
      </c>
      <c r="H100" s="4"/>
      <c r="I100" s="4"/>
      <c r="J100" s="4"/>
      <c r="K100" s="4"/>
      <c r="L100" s="3">
        <f t="shared" si="2"/>
        <v>4</v>
      </c>
      <c r="M100" s="4"/>
      <c r="N100" s="4"/>
      <c r="O100" s="4"/>
      <c r="P100" s="4"/>
      <c r="Q100" s="4"/>
      <c r="R100" s="4"/>
      <c r="S100" s="3">
        <f t="shared" si="3"/>
        <v>0</v>
      </c>
      <c r="T100" s="5"/>
    </row>
    <row r="101" spans="1:20" x14ac:dyDescent="0.25">
      <c r="A101" s="3" t="s">
        <v>253</v>
      </c>
      <c r="B101" s="3" t="s">
        <v>246</v>
      </c>
      <c r="C101" s="3">
        <v>4</v>
      </c>
      <c r="D101" s="3">
        <v>3</v>
      </c>
      <c r="E101" s="2" t="s">
        <v>393</v>
      </c>
      <c r="F101" s="3">
        <v>4</v>
      </c>
      <c r="G101" s="4" t="s">
        <v>572</v>
      </c>
      <c r="H101" s="4"/>
      <c r="I101" s="4"/>
      <c r="J101" s="4"/>
      <c r="K101" s="4"/>
      <c r="L101" s="3">
        <f t="shared" si="2"/>
        <v>4</v>
      </c>
      <c r="M101" s="4"/>
      <c r="N101" s="4"/>
      <c r="O101" s="4"/>
      <c r="P101" s="4"/>
      <c r="Q101" s="4"/>
      <c r="R101" s="4"/>
      <c r="S101" s="3">
        <f t="shared" si="3"/>
        <v>0</v>
      </c>
      <c r="T101" s="5"/>
    </row>
    <row r="102" spans="1:20" x14ac:dyDescent="0.25">
      <c r="A102" s="3" t="s">
        <v>253</v>
      </c>
      <c r="B102" s="3" t="s">
        <v>246</v>
      </c>
      <c r="C102" s="3">
        <v>4</v>
      </c>
      <c r="D102" s="3">
        <v>4</v>
      </c>
      <c r="E102" s="2" t="s">
        <v>394</v>
      </c>
      <c r="F102" s="3">
        <v>4</v>
      </c>
      <c r="G102" s="4" t="s">
        <v>572</v>
      </c>
      <c r="H102" s="4"/>
      <c r="I102" s="4"/>
      <c r="J102" s="4"/>
      <c r="K102" s="4"/>
      <c r="L102" s="3">
        <f t="shared" si="2"/>
        <v>4</v>
      </c>
      <c r="M102" s="4"/>
      <c r="N102" s="4"/>
      <c r="O102" s="4"/>
      <c r="P102" s="4"/>
      <c r="Q102" s="4"/>
      <c r="R102" s="4"/>
      <c r="S102" s="3">
        <f t="shared" si="3"/>
        <v>0</v>
      </c>
      <c r="T102" s="5"/>
    </row>
    <row r="103" spans="1:20" ht="28.5" x14ac:dyDescent="0.25">
      <c r="A103" s="3" t="s">
        <v>253</v>
      </c>
      <c r="B103" s="3" t="s">
        <v>246</v>
      </c>
      <c r="C103" s="3">
        <v>4</v>
      </c>
      <c r="D103" s="3">
        <v>5</v>
      </c>
      <c r="E103" s="2" t="s">
        <v>395</v>
      </c>
      <c r="F103" s="3">
        <v>4</v>
      </c>
      <c r="G103" s="4" t="s">
        <v>573</v>
      </c>
      <c r="H103" s="4"/>
      <c r="I103" s="4">
        <v>1</v>
      </c>
      <c r="J103" s="4"/>
      <c r="K103" s="4"/>
      <c r="L103" s="3">
        <f t="shared" si="2"/>
        <v>3</v>
      </c>
      <c r="M103" s="4"/>
      <c r="N103" s="4"/>
      <c r="O103" s="4"/>
      <c r="P103" s="4"/>
      <c r="Q103" s="4"/>
      <c r="R103" s="4"/>
      <c r="S103" s="3">
        <f t="shared" si="3"/>
        <v>0</v>
      </c>
      <c r="T103" s="5"/>
    </row>
    <row r="104" spans="1:20" ht="28.5" x14ac:dyDescent="0.25">
      <c r="A104" s="3" t="s">
        <v>253</v>
      </c>
      <c r="B104" s="3" t="s">
        <v>246</v>
      </c>
      <c r="C104" s="3">
        <v>4</v>
      </c>
      <c r="D104" s="3">
        <v>6</v>
      </c>
      <c r="E104" s="2" t="s">
        <v>396</v>
      </c>
      <c r="F104" s="3">
        <v>2</v>
      </c>
      <c r="G104" s="4" t="s">
        <v>573</v>
      </c>
      <c r="H104" s="4"/>
      <c r="I104" s="4">
        <v>1</v>
      </c>
      <c r="J104" s="4"/>
      <c r="K104" s="4"/>
      <c r="L104" s="3">
        <f t="shared" si="2"/>
        <v>1</v>
      </c>
      <c r="M104" s="4"/>
      <c r="N104" s="4"/>
      <c r="O104" s="4"/>
      <c r="P104" s="4"/>
      <c r="Q104" s="4"/>
      <c r="R104" s="4"/>
      <c r="S104" s="3">
        <f t="shared" si="3"/>
        <v>0</v>
      </c>
      <c r="T104" s="5"/>
    </row>
    <row r="105" spans="1:20" x14ac:dyDescent="0.25">
      <c r="A105" s="3" t="s">
        <v>253</v>
      </c>
      <c r="B105" s="3" t="s">
        <v>246</v>
      </c>
      <c r="C105" s="3">
        <v>4</v>
      </c>
      <c r="D105" s="3">
        <v>7</v>
      </c>
      <c r="E105" s="2" t="s">
        <v>359</v>
      </c>
      <c r="F105" s="3">
        <v>3</v>
      </c>
      <c r="G105" s="4" t="s">
        <v>572</v>
      </c>
      <c r="H105" s="4"/>
      <c r="I105" s="4"/>
      <c r="J105" s="4"/>
      <c r="K105" s="4"/>
      <c r="L105" s="3">
        <f t="shared" si="2"/>
        <v>3</v>
      </c>
      <c r="M105" s="4"/>
      <c r="N105" s="4"/>
      <c r="O105" s="4"/>
      <c r="P105" s="4"/>
      <c r="Q105" s="4"/>
      <c r="R105" s="4"/>
      <c r="S105" s="3">
        <f t="shared" si="3"/>
        <v>0</v>
      </c>
      <c r="T105" s="5"/>
    </row>
    <row r="106" spans="1:20" x14ac:dyDescent="0.25">
      <c r="A106" s="3" t="s">
        <v>253</v>
      </c>
      <c r="B106" s="3" t="s">
        <v>246</v>
      </c>
      <c r="C106" s="3">
        <v>4</v>
      </c>
      <c r="D106" s="3">
        <v>8</v>
      </c>
      <c r="E106" s="2" t="s">
        <v>397</v>
      </c>
      <c r="F106" s="3">
        <v>3</v>
      </c>
      <c r="G106" s="4" t="s">
        <v>572</v>
      </c>
      <c r="H106" s="4"/>
      <c r="I106" s="4"/>
      <c r="J106" s="4"/>
      <c r="K106" s="4"/>
      <c r="L106" s="3">
        <f t="shared" si="2"/>
        <v>3</v>
      </c>
      <c r="M106" s="4"/>
      <c r="N106" s="4"/>
      <c r="O106" s="4"/>
      <c r="P106" s="4"/>
      <c r="Q106" s="4"/>
      <c r="R106" s="4"/>
      <c r="S106" s="3">
        <f t="shared" si="3"/>
        <v>0</v>
      </c>
      <c r="T106" s="5"/>
    </row>
    <row r="107" spans="1:20" x14ac:dyDescent="0.25">
      <c r="A107" s="3" t="s">
        <v>253</v>
      </c>
      <c r="B107" s="3" t="s">
        <v>246</v>
      </c>
      <c r="C107" s="3">
        <v>4</v>
      </c>
      <c r="D107" s="3">
        <v>9</v>
      </c>
      <c r="E107" s="2" t="s">
        <v>398</v>
      </c>
      <c r="F107" s="3">
        <v>5</v>
      </c>
      <c r="G107" s="4" t="s">
        <v>572</v>
      </c>
      <c r="H107" s="4"/>
      <c r="I107" s="4"/>
      <c r="J107" s="4"/>
      <c r="K107" s="4"/>
      <c r="L107" s="3">
        <f t="shared" si="2"/>
        <v>5</v>
      </c>
      <c r="M107" s="4"/>
      <c r="N107" s="4"/>
      <c r="O107" s="4"/>
      <c r="P107" s="4"/>
      <c r="Q107" s="4"/>
      <c r="R107" s="4"/>
      <c r="S107" s="3">
        <f t="shared" si="3"/>
        <v>0</v>
      </c>
      <c r="T107" s="5"/>
    </row>
    <row r="108" spans="1:20" x14ac:dyDescent="0.25">
      <c r="A108" s="3" t="s">
        <v>253</v>
      </c>
      <c r="B108" s="3" t="s">
        <v>246</v>
      </c>
      <c r="C108" s="3">
        <v>4</v>
      </c>
      <c r="D108" s="3">
        <v>10</v>
      </c>
      <c r="E108" s="2" t="s">
        <v>399</v>
      </c>
      <c r="F108" s="3">
        <v>9</v>
      </c>
      <c r="G108" s="4" t="s">
        <v>572</v>
      </c>
      <c r="H108" s="4"/>
      <c r="I108" s="4"/>
      <c r="J108" s="4"/>
      <c r="K108" s="4"/>
      <c r="L108" s="3">
        <f t="shared" si="2"/>
        <v>9</v>
      </c>
      <c r="M108" s="4"/>
      <c r="N108" s="4"/>
      <c r="O108" s="4"/>
      <c r="P108" s="4"/>
      <c r="Q108" s="4"/>
      <c r="R108" s="4"/>
      <c r="S108" s="3">
        <f t="shared" si="3"/>
        <v>0</v>
      </c>
      <c r="T108" s="5"/>
    </row>
    <row r="109" spans="1:20" ht="28.5" x14ac:dyDescent="0.25">
      <c r="A109" s="3" t="s">
        <v>253</v>
      </c>
      <c r="B109" s="3" t="s">
        <v>246</v>
      </c>
      <c r="C109" s="3">
        <v>4</v>
      </c>
      <c r="D109" s="3">
        <v>11</v>
      </c>
      <c r="E109" s="2" t="s">
        <v>400</v>
      </c>
      <c r="F109" s="3">
        <v>7</v>
      </c>
      <c r="G109" s="4" t="s">
        <v>573</v>
      </c>
      <c r="H109" s="4">
        <v>1</v>
      </c>
      <c r="I109" s="4">
        <v>2</v>
      </c>
      <c r="J109" s="4"/>
      <c r="K109" s="4"/>
      <c r="L109" s="3">
        <f t="shared" si="2"/>
        <v>4</v>
      </c>
      <c r="M109" s="4"/>
      <c r="N109" s="4"/>
      <c r="O109" s="4"/>
      <c r="P109" s="4"/>
      <c r="Q109" s="4"/>
      <c r="R109" s="4"/>
      <c r="S109" s="3">
        <f t="shared" si="3"/>
        <v>0</v>
      </c>
      <c r="T109" s="5"/>
    </row>
    <row r="110" spans="1:20" ht="28.5" x14ac:dyDescent="0.25">
      <c r="A110" s="3" t="s">
        <v>253</v>
      </c>
      <c r="B110" s="3" t="s">
        <v>246</v>
      </c>
      <c r="C110" s="3">
        <v>4</v>
      </c>
      <c r="D110" s="3">
        <v>12</v>
      </c>
      <c r="E110" s="2" t="s">
        <v>401</v>
      </c>
      <c r="F110" s="3">
        <v>15</v>
      </c>
      <c r="G110" s="4" t="s">
        <v>572</v>
      </c>
      <c r="H110" s="4"/>
      <c r="I110" s="4"/>
      <c r="J110" s="4"/>
      <c r="K110" s="4"/>
      <c r="L110" s="3">
        <f t="shared" si="2"/>
        <v>15</v>
      </c>
      <c r="M110" s="4"/>
      <c r="N110" s="4"/>
      <c r="O110" s="4"/>
      <c r="P110" s="4"/>
      <c r="Q110" s="4"/>
      <c r="R110" s="4"/>
      <c r="S110" s="3">
        <f t="shared" si="3"/>
        <v>0</v>
      </c>
      <c r="T110" s="5"/>
    </row>
    <row r="111" spans="1:20" ht="28.5" x14ac:dyDescent="0.25">
      <c r="A111" s="3" t="s">
        <v>255</v>
      </c>
      <c r="B111" s="3" t="s">
        <v>246</v>
      </c>
      <c r="C111" s="3">
        <v>5</v>
      </c>
      <c r="D111" s="3">
        <v>1</v>
      </c>
      <c r="E111" s="2" t="s">
        <v>402</v>
      </c>
      <c r="F111" s="3">
        <v>2</v>
      </c>
      <c r="G111" s="4" t="s">
        <v>573</v>
      </c>
      <c r="H111" s="4">
        <v>1</v>
      </c>
      <c r="I111" s="4"/>
      <c r="J111" s="4"/>
      <c r="K111" s="4"/>
      <c r="L111" s="3">
        <f t="shared" si="2"/>
        <v>1</v>
      </c>
      <c r="M111" s="4"/>
      <c r="N111" s="4"/>
      <c r="O111" s="4"/>
      <c r="P111" s="4"/>
      <c r="Q111" s="4"/>
      <c r="R111" s="4"/>
      <c r="S111" s="3">
        <f t="shared" si="3"/>
        <v>0</v>
      </c>
      <c r="T111" s="5"/>
    </row>
    <row r="112" spans="1:20" x14ac:dyDescent="0.25">
      <c r="A112" s="3" t="s">
        <v>255</v>
      </c>
      <c r="B112" s="3" t="s">
        <v>246</v>
      </c>
      <c r="C112" s="3">
        <v>5</v>
      </c>
      <c r="D112" s="3">
        <v>2</v>
      </c>
      <c r="E112" s="2" t="s">
        <v>385</v>
      </c>
      <c r="F112" s="3">
        <v>4</v>
      </c>
      <c r="G112" s="4" t="s">
        <v>572</v>
      </c>
      <c r="H112" s="4"/>
      <c r="I112" s="4"/>
      <c r="J112" s="4"/>
      <c r="K112" s="4"/>
      <c r="L112" s="3">
        <f t="shared" si="2"/>
        <v>4</v>
      </c>
      <c r="M112" s="4"/>
      <c r="N112" s="4"/>
      <c r="O112" s="4"/>
      <c r="P112" s="4"/>
      <c r="Q112" s="4"/>
      <c r="R112" s="4"/>
      <c r="S112" s="3">
        <f t="shared" si="3"/>
        <v>0</v>
      </c>
      <c r="T112" s="5"/>
    </row>
    <row r="113" spans="1:20" x14ac:dyDescent="0.25">
      <c r="A113" s="3" t="s">
        <v>255</v>
      </c>
      <c r="B113" s="3" t="s">
        <v>246</v>
      </c>
      <c r="C113" s="3">
        <v>5</v>
      </c>
      <c r="D113" s="3">
        <v>3</v>
      </c>
      <c r="E113" s="2" t="s">
        <v>403</v>
      </c>
      <c r="F113" s="3">
        <v>5</v>
      </c>
      <c r="G113" s="4" t="s">
        <v>572</v>
      </c>
      <c r="H113" s="4"/>
      <c r="I113" s="4"/>
      <c r="J113" s="4"/>
      <c r="K113" s="4"/>
      <c r="L113" s="3">
        <f t="shared" si="2"/>
        <v>5</v>
      </c>
      <c r="M113" s="4"/>
      <c r="N113" s="4"/>
      <c r="O113" s="4"/>
      <c r="P113" s="4"/>
      <c r="Q113" s="4"/>
      <c r="R113" s="4"/>
      <c r="S113" s="3">
        <f t="shared" si="3"/>
        <v>0</v>
      </c>
      <c r="T113" s="5"/>
    </row>
    <row r="114" spans="1:20" x14ac:dyDescent="0.25">
      <c r="A114" s="3" t="s">
        <v>255</v>
      </c>
      <c r="B114" s="3" t="s">
        <v>246</v>
      </c>
      <c r="C114" s="3">
        <v>5</v>
      </c>
      <c r="D114" s="3">
        <v>4</v>
      </c>
      <c r="E114" s="2" t="s">
        <v>404</v>
      </c>
      <c r="F114" s="3">
        <v>5</v>
      </c>
      <c r="G114" s="4" t="s">
        <v>572</v>
      </c>
      <c r="H114" s="4"/>
      <c r="I114" s="4"/>
      <c r="J114" s="4"/>
      <c r="K114" s="4"/>
      <c r="L114" s="3">
        <f t="shared" si="2"/>
        <v>5</v>
      </c>
      <c r="M114" s="4"/>
      <c r="N114" s="4"/>
      <c r="O114" s="4"/>
      <c r="P114" s="4"/>
      <c r="Q114" s="4"/>
      <c r="R114" s="4"/>
      <c r="S114" s="3">
        <f t="shared" si="3"/>
        <v>0</v>
      </c>
      <c r="T114" s="5"/>
    </row>
    <row r="115" spans="1:20" x14ac:dyDescent="0.25">
      <c r="A115" s="3" t="s">
        <v>255</v>
      </c>
      <c r="B115" s="3" t="s">
        <v>246</v>
      </c>
      <c r="C115" s="3">
        <v>5</v>
      </c>
      <c r="D115" s="3">
        <v>5</v>
      </c>
      <c r="E115" s="2" t="s">
        <v>357</v>
      </c>
      <c r="F115" s="3">
        <v>4</v>
      </c>
      <c r="G115" s="4" t="s">
        <v>572</v>
      </c>
      <c r="H115" s="4"/>
      <c r="I115" s="4"/>
      <c r="J115" s="4"/>
      <c r="K115" s="4"/>
      <c r="L115" s="3">
        <f t="shared" si="2"/>
        <v>4</v>
      </c>
      <c r="M115" s="4"/>
      <c r="N115" s="4"/>
      <c r="O115" s="4"/>
      <c r="P115" s="4"/>
      <c r="Q115" s="4"/>
      <c r="R115" s="4"/>
      <c r="S115" s="3">
        <f t="shared" si="3"/>
        <v>0</v>
      </c>
      <c r="T115" s="5"/>
    </row>
    <row r="116" spans="1:20" x14ac:dyDescent="0.25">
      <c r="A116" s="3" t="s">
        <v>255</v>
      </c>
      <c r="B116" s="3" t="s">
        <v>246</v>
      </c>
      <c r="C116" s="3">
        <v>5</v>
      </c>
      <c r="D116" s="3">
        <v>6</v>
      </c>
      <c r="E116" s="2" t="s">
        <v>369</v>
      </c>
      <c r="F116" s="3">
        <v>2</v>
      </c>
      <c r="G116" s="4" t="s">
        <v>572</v>
      </c>
      <c r="H116" s="4"/>
      <c r="I116" s="4"/>
      <c r="J116" s="4"/>
      <c r="K116" s="4"/>
      <c r="L116" s="3">
        <f t="shared" si="2"/>
        <v>2</v>
      </c>
      <c r="M116" s="4"/>
      <c r="N116" s="4"/>
      <c r="O116" s="4"/>
      <c r="P116" s="4"/>
      <c r="Q116" s="4"/>
      <c r="R116" s="4"/>
      <c r="S116" s="3">
        <f t="shared" si="3"/>
        <v>0</v>
      </c>
      <c r="T116" s="5"/>
    </row>
    <row r="117" spans="1:20" x14ac:dyDescent="0.25">
      <c r="A117" s="3" t="s">
        <v>255</v>
      </c>
      <c r="B117" s="3" t="s">
        <v>246</v>
      </c>
      <c r="C117" s="3">
        <v>5</v>
      </c>
      <c r="D117" s="3">
        <v>7</v>
      </c>
      <c r="E117" s="2" t="s">
        <v>359</v>
      </c>
      <c r="F117" s="3">
        <v>3</v>
      </c>
      <c r="G117" s="4" t="s">
        <v>572</v>
      </c>
      <c r="H117" s="4"/>
      <c r="I117" s="4"/>
      <c r="J117" s="4"/>
      <c r="K117" s="4"/>
      <c r="L117" s="3">
        <f t="shared" si="2"/>
        <v>3</v>
      </c>
      <c r="M117" s="4"/>
      <c r="N117" s="4"/>
      <c r="O117" s="4"/>
      <c r="P117" s="4"/>
      <c r="Q117" s="4"/>
      <c r="R117" s="4"/>
      <c r="S117" s="3">
        <f t="shared" si="3"/>
        <v>0</v>
      </c>
      <c r="T117" s="5"/>
    </row>
    <row r="118" spans="1:20" x14ac:dyDescent="0.25">
      <c r="A118" s="3" t="s">
        <v>255</v>
      </c>
      <c r="B118" s="3" t="s">
        <v>246</v>
      </c>
      <c r="C118" s="3">
        <v>5</v>
      </c>
      <c r="D118" s="3">
        <v>8</v>
      </c>
      <c r="E118" s="2" t="s">
        <v>405</v>
      </c>
      <c r="F118" s="3">
        <v>4</v>
      </c>
      <c r="G118" s="4" t="s">
        <v>572</v>
      </c>
      <c r="H118" s="4"/>
      <c r="I118" s="4"/>
      <c r="J118" s="4"/>
      <c r="K118" s="4"/>
      <c r="L118" s="3">
        <f t="shared" si="2"/>
        <v>4</v>
      </c>
      <c r="M118" s="4"/>
      <c r="N118" s="4"/>
      <c r="O118" s="4"/>
      <c r="P118" s="4"/>
      <c r="Q118" s="4"/>
      <c r="R118" s="4"/>
      <c r="S118" s="3">
        <f t="shared" si="3"/>
        <v>0</v>
      </c>
      <c r="T118" s="5"/>
    </row>
    <row r="119" spans="1:20" x14ac:dyDescent="0.25">
      <c r="A119" s="3" t="s">
        <v>255</v>
      </c>
      <c r="B119" s="3" t="s">
        <v>246</v>
      </c>
      <c r="C119" s="3">
        <v>5</v>
      </c>
      <c r="D119" s="3">
        <v>9</v>
      </c>
      <c r="E119" s="2" t="s">
        <v>406</v>
      </c>
      <c r="F119" s="3">
        <v>4</v>
      </c>
      <c r="G119" s="4" t="s">
        <v>572</v>
      </c>
      <c r="H119" s="4"/>
      <c r="I119" s="4"/>
      <c r="J119" s="4"/>
      <c r="K119" s="4"/>
      <c r="L119" s="3">
        <f t="shared" si="2"/>
        <v>4</v>
      </c>
      <c r="M119" s="4"/>
      <c r="N119" s="4"/>
      <c r="O119" s="4"/>
      <c r="P119" s="4"/>
      <c r="Q119" s="4"/>
      <c r="R119" s="4"/>
      <c r="S119" s="3">
        <f t="shared" si="3"/>
        <v>0</v>
      </c>
      <c r="T119" s="5"/>
    </row>
    <row r="120" spans="1:20" x14ac:dyDescent="0.25">
      <c r="A120" s="3" t="s">
        <v>255</v>
      </c>
      <c r="B120" s="3" t="s">
        <v>246</v>
      </c>
      <c r="C120" s="3">
        <v>5</v>
      </c>
      <c r="D120" s="3">
        <v>10</v>
      </c>
      <c r="E120" s="2" t="s">
        <v>362</v>
      </c>
      <c r="F120" s="3">
        <v>8</v>
      </c>
      <c r="G120" s="4" t="s">
        <v>572</v>
      </c>
      <c r="H120" s="4"/>
      <c r="I120" s="4"/>
      <c r="J120" s="4"/>
      <c r="K120" s="4"/>
      <c r="L120" s="3">
        <f t="shared" si="2"/>
        <v>8</v>
      </c>
      <c r="M120" s="4"/>
      <c r="N120" s="4"/>
      <c r="O120" s="4"/>
      <c r="P120" s="4"/>
      <c r="Q120" s="4"/>
      <c r="R120" s="4"/>
      <c r="S120" s="3">
        <f t="shared" si="3"/>
        <v>0</v>
      </c>
      <c r="T120" s="5"/>
    </row>
    <row r="121" spans="1:20" ht="28.5" x14ac:dyDescent="0.25">
      <c r="A121" s="3" t="s">
        <v>255</v>
      </c>
      <c r="B121" s="3" t="s">
        <v>246</v>
      </c>
      <c r="C121" s="3">
        <v>5</v>
      </c>
      <c r="D121" s="3">
        <v>11</v>
      </c>
      <c r="E121" s="2" t="s">
        <v>407</v>
      </c>
      <c r="F121" s="3">
        <v>7</v>
      </c>
      <c r="G121" s="4" t="s">
        <v>573</v>
      </c>
      <c r="H121" s="4">
        <v>3</v>
      </c>
      <c r="I121" s="4">
        <v>1</v>
      </c>
      <c r="J121" s="4"/>
      <c r="K121" s="4"/>
      <c r="L121" s="3">
        <f t="shared" si="2"/>
        <v>3</v>
      </c>
      <c r="M121" s="4"/>
      <c r="N121" s="4"/>
      <c r="O121" s="4"/>
      <c r="P121" s="4"/>
      <c r="Q121" s="4"/>
      <c r="R121" s="4"/>
      <c r="S121" s="3">
        <f t="shared" si="3"/>
        <v>0</v>
      </c>
      <c r="T121" s="5"/>
    </row>
    <row r="122" spans="1:20" ht="28.5" x14ac:dyDescent="0.25">
      <c r="A122" s="3" t="s">
        <v>255</v>
      </c>
      <c r="B122" s="3" t="s">
        <v>246</v>
      </c>
      <c r="C122" s="3">
        <v>5</v>
      </c>
      <c r="D122" s="3">
        <v>12</v>
      </c>
      <c r="E122" s="2" t="s">
        <v>408</v>
      </c>
      <c r="F122" s="3">
        <v>16</v>
      </c>
      <c r="G122" s="4" t="s">
        <v>572</v>
      </c>
      <c r="H122" s="4"/>
      <c r="I122" s="4"/>
      <c r="J122" s="4"/>
      <c r="K122" s="4"/>
      <c r="L122" s="3">
        <f t="shared" si="2"/>
        <v>16</v>
      </c>
      <c r="M122" s="4"/>
      <c r="N122" s="4"/>
      <c r="O122" s="4"/>
      <c r="P122" s="4"/>
      <c r="Q122" s="4"/>
      <c r="R122" s="4"/>
      <c r="S122" s="3">
        <f t="shared" si="3"/>
        <v>0</v>
      </c>
      <c r="T122" s="5"/>
    </row>
    <row r="123" spans="1:20" x14ac:dyDescent="0.25">
      <c r="A123" s="3" t="s">
        <v>257</v>
      </c>
      <c r="B123" s="3" t="s">
        <v>258</v>
      </c>
      <c r="C123" s="3">
        <v>1</v>
      </c>
      <c r="D123" s="3">
        <v>1</v>
      </c>
      <c r="E123" s="2" t="s">
        <v>409</v>
      </c>
      <c r="F123" s="3">
        <v>3</v>
      </c>
      <c r="G123" s="4" t="s">
        <v>572</v>
      </c>
      <c r="H123" s="4"/>
      <c r="I123" s="4"/>
      <c r="J123" s="4"/>
      <c r="K123" s="4"/>
      <c r="L123" s="3">
        <f t="shared" si="2"/>
        <v>3</v>
      </c>
      <c r="M123" s="4"/>
      <c r="N123" s="4"/>
      <c r="O123" s="4"/>
      <c r="P123" s="4"/>
      <c r="Q123" s="4"/>
      <c r="R123" s="4"/>
      <c r="S123" s="3">
        <f t="shared" si="3"/>
        <v>0</v>
      </c>
      <c r="T123" s="5"/>
    </row>
    <row r="124" spans="1:20" x14ac:dyDescent="0.25">
      <c r="A124" s="3" t="s">
        <v>257</v>
      </c>
      <c r="B124" s="3" t="s">
        <v>258</v>
      </c>
      <c r="C124" s="3">
        <v>1</v>
      </c>
      <c r="D124" s="3">
        <v>2</v>
      </c>
      <c r="E124" s="2" t="s">
        <v>410</v>
      </c>
      <c r="F124" s="3">
        <v>4</v>
      </c>
      <c r="G124" s="4" t="s">
        <v>572</v>
      </c>
      <c r="H124" s="4"/>
      <c r="I124" s="4"/>
      <c r="J124" s="4"/>
      <c r="K124" s="4"/>
      <c r="L124" s="3">
        <f t="shared" si="2"/>
        <v>4</v>
      </c>
      <c r="M124" s="4"/>
      <c r="N124" s="4"/>
      <c r="O124" s="4"/>
      <c r="P124" s="4"/>
      <c r="Q124" s="4"/>
      <c r="R124" s="4"/>
      <c r="S124" s="3">
        <f t="shared" si="3"/>
        <v>0</v>
      </c>
      <c r="T124" s="5"/>
    </row>
    <row r="125" spans="1:20" x14ac:dyDescent="0.25">
      <c r="A125" s="3" t="s">
        <v>257</v>
      </c>
      <c r="B125" s="3" t="s">
        <v>258</v>
      </c>
      <c r="C125" s="3">
        <v>1</v>
      </c>
      <c r="D125" s="3">
        <v>3</v>
      </c>
      <c r="E125" s="2" t="s">
        <v>411</v>
      </c>
      <c r="F125" s="3">
        <v>3</v>
      </c>
      <c r="G125" s="4" t="s">
        <v>572</v>
      </c>
      <c r="H125" s="4"/>
      <c r="I125" s="4"/>
      <c r="J125" s="4"/>
      <c r="K125" s="4"/>
      <c r="L125" s="3">
        <f t="shared" si="2"/>
        <v>3</v>
      </c>
      <c r="M125" s="4"/>
      <c r="N125" s="4"/>
      <c r="O125" s="4"/>
      <c r="P125" s="4"/>
      <c r="Q125" s="4"/>
      <c r="R125" s="4"/>
      <c r="S125" s="3">
        <f t="shared" si="3"/>
        <v>0</v>
      </c>
      <c r="T125" s="5"/>
    </row>
    <row r="126" spans="1:20" x14ac:dyDescent="0.25">
      <c r="A126" s="3" t="s">
        <v>257</v>
      </c>
      <c r="B126" s="3" t="s">
        <v>258</v>
      </c>
      <c r="C126" s="3">
        <v>1</v>
      </c>
      <c r="D126" s="3">
        <v>4</v>
      </c>
      <c r="E126" s="2" t="s">
        <v>412</v>
      </c>
      <c r="F126" s="3">
        <v>4</v>
      </c>
      <c r="G126" s="4" t="s">
        <v>572</v>
      </c>
      <c r="H126" s="4"/>
      <c r="I126" s="4"/>
      <c r="J126" s="4"/>
      <c r="K126" s="4"/>
      <c r="L126" s="3">
        <f t="shared" si="2"/>
        <v>4</v>
      </c>
      <c r="M126" s="4"/>
      <c r="N126" s="4"/>
      <c r="O126" s="4"/>
      <c r="P126" s="4"/>
      <c r="Q126" s="4"/>
      <c r="R126" s="4"/>
      <c r="S126" s="3">
        <f t="shared" si="3"/>
        <v>0</v>
      </c>
      <c r="T126" s="5"/>
    </row>
    <row r="127" spans="1:20" x14ac:dyDescent="0.25">
      <c r="A127" s="3" t="s">
        <v>257</v>
      </c>
      <c r="B127" s="3" t="s">
        <v>258</v>
      </c>
      <c r="C127" s="3">
        <v>1</v>
      </c>
      <c r="D127" s="3">
        <v>5</v>
      </c>
      <c r="E127" s="2" t="s">
        <v>413</v>
      </c>
      <c r="F127" s="3">
        <v>2</v>
      </c>
      <c r="G127" s="4" t="s">
        <v>572</v>
      </c>
      <c r="H127" s="4"/>
      <c r="I127" s="4"/>
      <c r="J127" s="4"/>
      <c r="K127" s="4"/>
      <c r="L127" s="3">
        <f t="shared" si="2"/>
        <v>2</v>
      </c>
      <c r="M127" s="4"/>
      <c r="N127" s="4"/>
      <c r="O127" s="4"/>
      <c r="P127" s="4"/>
      <c r="Q127" s="4"/>
      <c r="R127" s="4"/>
      <c r="S127" s="3">
        <f t="shared" si="3"/>
        <v>0</v>
      </c>
      <c r="T127" s="5"/>
    </row>
    <row r="128" spans="1:20" x14ac:dyDescent="0.25">
      <c r="A128" s="3" t="s">
        <v>257</v>
      </c>
      <c r="B128" s="3" t="s">
        <v>258</v>
      </c>
      <c r="C128" s="3">
        <v>1</v>
      </c>
      <c r="D128" s="3">
        <v>6</v>
      </c>
      <c r="E128" s="2" t="s">
        <v>414</v>
      </c>
      <c r="F128" s="3">
        <v>3</v>
      </c>
      <c r="G128" s="4" t="s">
        <v>572</v>
      </c>
      <c r="H128" s="4"/>
      <c r="I128" s="4"/>
      <c r="J128" s="4"/>
      <c r="K128" s="4"/>
      <c r="L128" s="3">
        <f t="shared" si="2"/>
        <v>3</v>
      </c>
      <c r="M128" s="4"/>
      <c r="N128" s="4"/>
      <c r="O128" s="4"/>
      <c r="P128" s="4"/>
      <c r="Q128" s="4"/>
      <c r="R128" s="4"/>
      <c r="S128" s="3">
        <f t="shared" si="3"/>
        <v>0</v>
      </c>
      <c r="T128" s="5"/>
    </row>
    <row r="129" spans="1:20" x14ac:dyDescent="0.25">
      <c r="A129" s="3" t="s">
        <v>257</v>
      </c>
      <c r="B129" s="3" t="s">
        <v>258</v>
      </c>
      <c r="C129" s="3">
        <v>1</v>
      </c>
      <c r="D129" s="3">
        <v>7</v>
      </c>
      <c r="E129" s="2" t="s">
        <v>415</v>
      </c>
      <c r="F129" s="3">
        <v>3</v>
      </c>
      <c r="G129" s="4" t="s">
        <v>572</v>
      </c>
      <c r="H129" s="4"/>
      <c r="I129" s="4"/>
      <c r="J129" s="4"/>
      <c r="K129" s="4"/>
      <c r="L129" s="3">
        <f t="shared" si="2"/>
        <v>3</v>
      </c>
      <c r="M129" s="4"/>
      <c r="N129" s="4"/>
      <c r="O129" s="4"/>
      <c r="P129" s="4"/>
      <c r="Q129" s="4"/>
      <c r="R129" s="4"/>
      <c r="S129" s="3">
        <f t="shared" si="3"/>
        <v>0</v>
      </c>
      <c r="T129" s="5"/>
    </row>
    <row r="130" spans="1:20" x14ac:dyDescent="0.25">
      <c r="A130" s="3" t="s">
        <v>257</v>
      </c>
      <c r="B130" s="3" t="s">
        <v>258</v>
      </c>
      <c r="C130" s="3">
        <v>1</v>
      </c>
      <c r="D130" s="3">
        <v>8</v>
      </c>
      <c r="E130" s="2" t="s">
        <v>416</v>
      </c>
      <c r="F130" s="3">
        <v>4</v>
      </c>
      <c r="G130" s="4" t="s">
        <v>572</v>
      </c>
      <c r="H130" s="4"/>
      <c r="I130" s="4"/>
      <c r="J130" s="4"/>
      <c r="K130" s="4"/>
      <c r="L130" s="3">
        <f t="shared" ref="L130:L193" si="4">F130-(H130+I130+J130+K130)</f>
        <v>4</v>
      </c>
      <c r="M130" s="4"/>
      <c r="N130" s="4"/>
      <c r="O130" s="4"/>
      <c r="P130" s="4"/>
      <c r="Q130" s="4"/>
      <c r="R130" s="4"/>
      <c r="S130" s="3">
        <f t="shared" ref="S130:S193" si="5">N130+O130+P130+Q130+R130</f>
        <v>0</v>
      </c>
      <c r="T130" s="5"/>
    </row>
    <row r="131" spans="1:20" ht="28.5" x14ac:dyDescent="0.25">
      <c r="A131" s="3" t="s">
        <v>257</v>
      </c>
      <c r="B131" s="3" t="s">
        <v>258</v>
      </c>
      <c r="C131" s="3">
        <v>1</v>
      </c>
      <c r="D131" s="3">
        <v>9</v>
      </c>
      <c r="E131" s="2" t="s">
        <v>417</v>
      </c>
      <c r="F131" s="3">
        <v>8</v>
      </c>
      <c r="G131" s="4" t="s">
        <v>573</v>
      </c>
      <c r="H131" s="4">
        <v>2</v>
      </c>
      <c r="I131" s="4"/>
      <c r="J131" s="4"/>
      <c r="K131" s="4"/>
      <c r="L131" s="3">
        <f t="shared" si="4"/>
        <v>6</v>
      </c>
      <c r="M131" s="4"/>
      <c r="N131" s="4"/>
      <c r="O131" s="4"/>
      <c r="P131" s="4"/>
      <c r="Q131" s="4"/>
      <c r="R131" s="4"/>
      <c r="S131" s="3">
        <f t="shared" si="5"/>
        <v>0</v>
      </c>
      <c r="T131" s="5"/>
    </row>
    <row r="132" spans="1:20" ht="28.5" x14ac:dyDescent="0.25">
      <c r="A132" s="3" t="s">
        <v>257</v>
      </c>
      <c r="B132" s="3" t="s">
        <v>258</v>
      </c>
      <c r="C132" s="3">
        <v>1</v>
      </c>
      <c r="D132" s="3">
        <v>10</v>
      </c>
      <c r="E132" s="2" t="s">
        <v>418</v>
      </c>
      <c r="F132" s="3">
        <v>8</v>
      </c>
      <c r="G132" s="4" t="s">
        <v>573</v>
      </c>
      <c r="H132" s="4"/>
      <c r="I132" s="4">
        <v>1</v>
      </c>
      <c r="J132" s="4"/>
      <c r="K132" s="4"/>
      <c r="L132" s="3">
        <f t="shared" si="4"/>
        <v>7</v>
      </c>
      <c r="M132" s="4"/>
      <c r="N132" s="4"/>
      <c r="O132" s="4"/>
      <c r="P132" s="4"/>
      <c r="Q132" s="4"/>
      <c r="R132" s="4"/>
      <c r="S132" s="3">
        <f t="shared" si="5"/>
        <v>0</v>
      </c>
      <c r="T132" s="5"/>
    </row>
    <row r="133" spans="1:20" ht="28.5" x14ac:dyDescent="0.25">
      <c r="A133" s="3" t="s">
        <v>257</v>
      </c>
      <c r="B133" s="3" t="s">
        <v>258</v>
      </c>
      <c r="C133" s="3">
        <v>1</v>
      </c>
      <c r="D133" s="3">
        <v>11</v>
      </c>
      <c r="E133" s="2" t="s">
        <v>419</v>
      </c>
      <c r="F133" s="3">
        <v>11</v>
      </c>
      <c r="G133" s="4" t="s">
        <v>572</v>
      </c>
      <c r="H133" s="4"/>
      <c r="I133" s="4"/>
      <c r="J133" s="4"/>
      <c r="K133" s="4"/>
      <c r="L133" s="3">
        <f t="shared" si="4"/>
        <v>11</v>
      </c>
      <c r="M133" s="4"/>
      <c r="N133" s="4"/>
      <c r="O133" s="4"/>
      <c r="P133" s="4"/>
      <c r="Q133" s="4"/>
      <c r="R133" s="4"/>
      <c r="S133" s="3">
        <f t="shared" si="5"/>
        <v>0</v>
      </c>
      <c r="T133" s="5"/>
    </row>
    <row r="134" spans="1:20" x14ac:dyDescent="0.25">
      <c r="A134" s="3" t="s">
        <v>261</v>
      </c>
      <c r="B134" s="3" t="s">
        <v>258</v>
      </c>
      <c r="C134" s="3">
        <v>2</v>
      </c>
      <c r="D134" s="3">
        <v>1</v>
      </c>
      <c r="E134" s="2" t="s">
        <v>420</v>
      </c>
      <c r="F134" s="3">
        <v>1</v>
      </c>
      <c r="G134" s="4" t="s">
        <v>572</v>
      </c>
      <c r="H134" s="4"/>
      <c r="I134" s="4"/>
      <c r="J134" s="4"/>
      <c r="K134" s="4"/>
      <c r="L134" s="3">
        <f t="shared" si="4"/>
        <v>1</v>
      </c>
      <c r="M134" s="4"/>
      <c r="N134" s="4"/>
      <c r="O134" s="4"/>
      <c r="P134" s="4"/>
      <c r="Q134" s="4"/>
      <c r="R134" s="4"/>
      <c r="S134" s="3">
        <f t="shared" si="5"/>
        <v>0</v>
      </c>
      <c r="T134" s="5"/>
    </row>
    <row r="135" spans="1:20" ht="28.5" x14ac:dyDescent="0.25">
      <c r="A135" s="3" t="s">
        <v>261</v>
      </c>
      <c r="B135" s="3" t="s">
        <v>258</v>
      </c>
      <c r="C135" s="3">
        <v>2</v>
      </c>
      <c r="D135" s="3">
        <v>2</v>
      </c>
      <c r="E135" s="2" t="s">
        <v>421</v>
      </c>
      <c r="F135" s="3">
        <v>3</v>
      </c>
      <c r="G135" s="4" t="s">
        <v>573</v>
      </c>
      <c r="H135" s="4">
        <v>2</v>
      </c>
      <c r="I135" s="4"/>
      <c r="J135" s="4"/>
      <c r="K135" s="4"/>
      <c r="L135" s="3">
        <f t="shared" si="4"/>
        <v>1</v>
      </c>
      <c r="M135" s="4"/>
      <c r="N135" s="4"/>
      <c r="O135" s="4"/>
      <c r="P135" s="4"/>
      <c r="Q135" s="4"/>
      <c r="R135" s="4"/>
      <c r="S135" s="3">
        <f t="shared" si="5"/>
        <v>0</v>
      </c>
      <c r="T135" s="5"/>
    </row>
    <row r="136" spans="1:20" x14ac:dyDescent="0.25">
      <c r="A136" s="3" t="s">
        <v>261</v>
      </c>
      <c r="B136" s="3" t="s">
        <v>258</v>
      </c>
      <c r="C136" s="3">
        <v>2</v>
      </c>
      <c r="D136" s="3">
        <v>3</v>
      </c>
      <c r="E136" s="2" t="s">
        <v>422</v>
      </c>
      <c r="F136" s="3">
        <v>4</v>
      </c>
      <c r="G136" s="4" t="s">
        <v>572</v>
      </c>
      <c r="H136" s="4"/>
      <c r="I136" s="4"/>
      <c r="J136" s="4"/>
      <c r="K136" s="4"/>
      <c r="L136" s="3">
        <f t="shared" si="4"/>
        <v>4</v>
      </c>
      <c r="M136" s="4"/>
      <c r="N136" s="4"/>
      <c r="O136" s="4"/>
      <c r="P136" s="4"/>
      <c r="Q136" s="4"/>
      <c r="R136" s="4"/>
      <c r="S136" s="3">
        <f t="shared" si="5"/>
        <v>0</v>
      </c>
      <c r="T136" s="5"/>
    </row>
    <row r="137" spans="1:20" x14ac:dyDescent="0.25">
      <c r="A137" s="3" t="s">
        <v>261</v>
      </c>
      <c r="B137" s="3" t="s">
        <v>258</v>
      </c>
      <c r="C137" s="3">
        <v>2</v>
      </c>
      <c r="D137" s="3">
        <v>4</v>
      </c>
      <c r="E137" s="2" t="s">
        <v>411</v>
      </c>
      <c r="F137" s="3">
        <v>3</v>
      </c>
      <c r="G137" s="4" t="s">
        <v>572</v>
      </c>
      <c r="H137" s="4"/>
      <c r="I137" s="4"/>
      <c r="J137" s="4"/>
      <c r="K137" s="4"/>
      <c r="L137" s="3">
        <f t="shared" si="4"/>
        <v>3</v>
      </c>
      <c r="M137" s="4"/>
      <c r="N137" s="4"/>
      <c r="O137" s="4"/>
      <c r="P137" s="4"/>
      <c r="Q137" s="4"/>
      <c r="R137" s="4"/>
      <c r="S137" s="3">
        <f t="shared" si="5"/>
        <v>0</v>
      </c>
      <c r="T137" s="5"/>
    </row>
    <row r="138" spans="1:20" ht="28.5" x14ac:dyDescent="0.25">
      <c r="A138" s="3" t="s">
        <v>261</v>
      </c>
      <c r="B138" s="3" t="s">
        <v>258</v>
      </c>
      <c r="C138" s="3">
        <v>2</v>
      </c>
      <c r="D138" s="3">
        <v>5</v>
      </c>
      <c r="E138" s="2" t="s">
        <v>423</v>
      </c>
      <c r="F138" s="3">
        <v>4</v>
      </c>
      <c r="G138" s="4" t="s">
        <v>573</v>
      </c>
      <c r="H138" s="4">
        <v>1</v>
      </c>
      <c r="I138" s="4"/>
      <c r="J138" s="4"/>
      <c r="K138" s="4"/>
      <c r="L138" s="3">
        <f t="shared" si="4"/>
        <v>3</v>
      </c>
      <c r="M138" s="4"/>
      <c r="N138" s="4"/>
      <c r="O138" s="4"/>
      <c r="P138" s="4"/>
      <c r="Q138" s="4"/>
      <c r="R138" s="4"/>
      <c r="S138" s="3">
        <f t="shared" si="5"/>
        <v>0</v>
      </c>
      <c r="T138" s="5"/>
    </row>
    <row r="139" spans="1:20" x14ac:dyDescent="0.25">
      <c r="A139" s="3" t="s">
        <v>261</v>
      </c>
      <c r="B139" s="3" t="s">
        <v>258</v>
      </c>
      <c r="C139" s="3">
        <v>2</v>
      </c>
      <c r="D139" s="3">
        <v>6</v>
      </c>
      <c r="E139" s="2" t="s">
        <v>424</v>
      </c>
      <c r="F139" s="3">
        <v>3</v>
      </c>
      <c r="G139" s="4" t="s">
        <v>572</v>
      </c>
      <c r="H139" s="4"/>
      <c r="I139" s="4"/>
      <c r="J139" s="4"/>
      <c r="K139" s="4"/>
      <c r="L139" s="3">
        <f t="shared" si="4"/>
        <v>3</v>
      </c>
      <c r="M139" s="4"/>
      <c r="N139" s="4"/>
      <c r="O139" s="4"/>
      <c r="P139" s="4"/>
      <c r="Q139" s="4"/>
      <c r="R139" s="4"/>
      <c r="S139" s="3">
        <f t="shared" si="5"/>
        <v>0</v>
      </c>
      <c r="T139" s="5"/>
    </row>
    <row r="140" spans="1:20" x14ac:dyDescent="0.25">
      <c r="A140" s="3" t="s">
        <v>261</v>
      </c>
      <c r="B140" s="3" t="s">
        <v>258</v>
      </c>
      <c r="C140" s="3">
        <v>2</v>
      </c>
      <c r="D140" s="3">
        <v>7</v>
      </c>
      <c r="E140" s="2" t="s">
        <v>414</v>
      </c>
      <c r="F140" s="3">
        <v>3</v>
      </c>
      <c r="G140" s="4" t="s">
        <v>572</v>
      </c>
      <c r="H140" s="4"/>
      <c r="I140" s="4"/>
      <c r="J140" s="4"/>
      <c r="K140" s="4"/>
      <c r="L140" s="3">
        <f t="shared" si="4"/>
        <v>3</v>
      </c>
      <c r="M140" s="4"/>
      <c r="N140" s="4"/>
      <c r="O140" s="4"/>
      <c r="P140" s="4"/>
      <c r="Q140" s="4"/>
      <c r="R140" s="4"/>
      <c r="S140" s="3">
        <f t="shared" si="5"/>
        <v>0</v>
      </c>
      <c r="T140" s="5"/>
    </row>
    <row r="141" spans="1:20" x14ac:dyDescent="0.25">
      <c r="A141" s="3" t="s">
        <v>261</v>
      </c>
      <c r="B141" s="3" t="s">
        <v>258</v>
      </c>
      <c r="C141" s="3">
        <v>2</v>
      </c>
      <c r="D141" s="3">
        <v>8</v>
      </c>
      <c r="E141" s="2" t="s">
        <v>425</v>
      </c>
      <c r="F141" s="3">
        <v>2</v>
      </c>
      <c r="G141" s="4" t="s">
        <v>572</v>
      </c>
      <c r="H141" s="4"/>
      <c r="I141" s="4"/>
      <c r="J141" s="4"/>
      <c r="K141" s="4"/>
      <c r="L141" s="3">
        <f t="shared" si="4"/>
        <v>2</v>
      </c>
      <c r="M141" s="4"/>
      <c r="N141" s="4"/>
      <c r="O141" s="4"/>
      <c r="P141" s="4"/>
      <c r="Q141" s="4"/>
      <c r="R141" s="4"/>
      <c r="S141" s="3">
        <f t="shared" si="5"/>
        <v>0</v>
      </c>
      <c r="T141" s="5"/>
    </row>
    <row r="142" spans="1:20" x14ac:dyDescent="0.25">
      <c r="A142" s="3" t="s">
        <v>261</v>
      </c>
      <c r="B142" s="3" t="s">
        <v>258</v>
      </c>
      <c r="C142" s="3">
        <v>2</v>
      </c>
      <c r="D142" s="3">
        <v>9</v>
      </c>
      <c r="E142" s="2" t="s">
        <v>416</v>
      </c>
      <c r="F142" s="3">
        <v>4</v>
      </c>
      <c r="G142" s="4" t="s">
        <v>572</v>
      </c>
      <c r="H142" s="4"/>
      <c r="I142" s="4"/>
      <c r="J142" s="4"/>
      <c r="K142" s="4"/>
      <c r="L142" s="3">
        <f t="shared" si="4"/>
        <v>4</v>
      </c>
      <c r="M142" s="4"/>
      <c r="N142" s="4"/>
      <c r="O142" s="4"/>
      <c r="P142" s="4"/>
      <c r="Q142" s="4"/>
      <c r="R142" s="4"/>
      <c r="S142" s="3">
        <f t="shared" si="5"/>
        <v>0</v>
      </c>
      <c r="T142" s="5"/>
    </row>
    <row r="143" spans="1:20" ht="28.5" x14ac:dyDescent="0.25">
      <c r="A143" s="3" t="s">
        <v>261</v>
      </c>
      <c r="B143" s="3" t="s">
        <v>258</v>
      </c>
      <c r="C143" s="3">
        <v>2</v>
      </c>
      <c r="D143" s="3">
        <v>10</v>
      </c>
      <c r="E143" s="2" t="s">
        <v>426</v>
      </c>
      <c r="F143" s="3">
        <v>9</v>
      </c>
      <c r="G143" s="4" t="s">
        <v>573</v>
      </c>
      <c r="H143" s="4">
        <v>1</v>
      </c>
      <c r="I143" s="4"/>
      <c r="J143" s="4"/>
      <c r="K143" s="4"/>
      <c r="L143" s="3">
        <f t="shared" si="4"/>
        <v>8</v>
      </c>
      <c r="M143" s="4"/>
      <c r="N143" s="4"/>
      <c r="O143" s="4"/>
      <c r="P143" s="4"/>
      <c r="Q143" s="4"/>
      <c r="R143" s="4"/>
      <c r="S143" s="3">
        <f t="shared" si="5"/>
        <v>0</v>
      </c>
      <c r="T143" s="5"/>
    </row>
    <row r="144" spans="1:20" ht="28.5" x14ac:dyDescent="0.25">
      <c r="A144" s="3" t="s">
        <v>261</v>
      </c>
      <c r="B144" s="3" t="s">
        <v>258</v>
      </c>
      <c r="C144" s="3">
        <v>2</v>
      </c>
      <c r="D144" s="3">
        <v>11</v>
      </c>
      <c r="E144" s="2" t="s">
        <v>427</v>
      </c>
      <c r="F144" s="3">
        <v>8</v>
      </c>
      <c r="G144" s="4" t="s">
        <v>572</v>
      </c>
      <c r="H144" s="4"/>
      <c r="I144" s="4"/>
      <c r="J144" s="4"/>
      <c r="K144" s="4"/>
      <c r="L144" s="3">
        <f t="shared" si="4"/>
        <v>8</v>
      </c>
      <c r="M144" s="4"/>
      <c r="N144" s="4"/>
      <c r="O144" s="4"/>
      <c r="P144" s="4"/>
      <c r="Q144" s="4"/>
      <c r="R144" s="4"/>
      <c r="S144" s="3">
        <f t="shared" si="5"/>
        <v>0</v>
      </c>
      <c r="T144" s="5"/>
    </row>
    <row r="145" spans="1:20" ht="28.5" x14ac:dyDescent="0.25">
      <c r="A145" s="3" t="s">
        <v>261</v>
      </c>
      <c r="B145" s="3" t="s">
        <v>258</v>
      </c>
      <c r="C145" s="3">
        <v>2</v>
      </c>
      <c r="D145" s="3">
        <v>12</v>
      </c>
      <c r="E145" s="2" t="s">
        <v>428</v>
      </c>
      <c r="F145" s="3">
        <v>11</v>
      </c>
      <c r="G145" s="4" t="s">
        <v>573</v>
      </c>
      <c r="H145" s="4">
        <v>2</v>
      </c>
      <c r="I145" s="4"/>
      <c r="J145" s="4"/>
      <c r="K145" s="4"/>
      <c r="L145" s="3">
        <f t="shared" si="4"/>
        <v>9</v>
      </c>
      <c r="M145" s="4"/>
      <c r="N145" s="4"/>
      <c r="O145" s="4"/>
      <c r="P145" s="4"/>
      <c r="Q145" s="4"/>
      <c r="R145" s="4"/>
      <c r="S145" s="3">
        <f t="shared" si="5"/>
        <v>0</v>
      </c>
      <c r="T145" s="5"/>
    </row>
    <row r="146" spans="1:20" ht="28.5" x14ac:dyDescent="0.25">
      <c r="A146" s="3" t="s">
        <v>261</v>
      </c>
      <c r="B146" s="3" t="s">
        <v>258</v>
      </c>
      <c r="C146" s="3">
        <v>2</v>
      </c>
      <c r="D146" s="3">
        <v>13</v>
      </c>
      <c r="E146" s="2" t="s">
        <v>429</v>
      </c>
      <c r="F146" s="3">
        <v>1</v>
      </c>
      <c r="G146" s="4" t="s">
        <v>573</v>
      </c>
      <c r="H146" s="4"/>
      <c r="I146" s="4"/>
      <c r="J146" s="4"/>
      <c r="K146" s="4">
        <v>1</v>
      </c>
      <c r="L146" s="3">
        <f t="shared" si="4"/>
        <v>0</v>
      </c>
      <c r="M146" s="4"/>
      <c r="N146" s="4"/>
      <c r="O146" s="4">
        <v>1</v>
      </c>
      <c r="P146" s="4"/>
      <c r="Q146" s="4"/>
      <c r="R146" s="4"/>
      <c r="S146" s="3">
        <f t="shared" si="5"/>
        <v>1</v>
      </c>
      <c r="T146" s="5"/>
    </row>
    <row r="147" spans="1:20" ht="42.75" x14ac:dyDescent="0.25">
      <c r="A147" s="3" t="s">
        <v>261</v>
      </c>
      <c r="B147" s="3" t="s">
        <v>258</v>
      </c>
      <c r="C147" s="3">
        <v>2</v>
      </c>
      <c r="D147" s="3">
        <v>14</v>
      </c>
      <c r="E147" s="2" t="s">
        <v>430</v>
      </c>
      <c r="F147" s="3">
        <v>15</v>
      </c>
      <c r="G147" s="4" t="s">
        <v>573</v>
      </c>
      <c r="H147" s="4">
        <v>1</v>
      </c>
      <c r="I147" s="4">
        <v>1</v>
      </c>
      <c r="J147" s="4">
        <v>2</v>
      </c>
      <c r="K147" s="4"/>
      <c r="L147" s="3">
        <f t="shared" si="4"/>
        <v>11</v>
      </c>
      <c r="M147" s="4"/>
      <c r="N147" s="4"/>
      <c r="O147" s="4"/>
      <c r="P147" s="4"/>
      <c r="Q147" s="4"/>
      <c r="R147" s="4"/>
      <c r="S147" s="3">
        <f t="shared" si="5"/>
        <v>0</v>
      </c>
      <c r="T147" s="5"/>
    </row>
    <row r="148" spans="1:20" ht="42.75" x14ac:dyDescent="0.25">
      <c r="A148" s="3" t="s">
        <v>261</v>
      </c>
      <c r="B148" s="3" t="s">
        <v>258</v>
      </c>
      <c r="C148" s="3">
        <v>2</v>
      </c>
      <c r="D148" s="3">
        <v>15</v>
      </c>
      <c r="E148" s="2" t="s">
        <v>431</v>
      </c>
      <c r="F148" s="3">
        <v>16</v>
      </c>
      <c r="G148" s="4" t="s">
        <v>573</v>
      </c>
      <c r="H148" s="4">
        <v>2</v>
      </c>
      <c r="I148" s="4">
        <v>1</v>
      </c>
      <c r="J148" s="4"/>
      <c r="K148" s="4"/>
      <c r="L148" s="3">
        <f t="shared" si="4"/>
        <v>13</v>
      </c>
      <c r="M148" s="4"/>
      <c r="N148" s="4"/>
      <c r="O148" s="4"/>
      <c r="P148" s="4"/>
      <c r="Q148" s="4"/>
      <c r="R148" s="4"/>
      <c r="S148" s="3">
        <f t="shared" si="5"/>
        <v>0</v>
      </c>
      <c r="T148" s="5"/>
    </row>
    <row r="149" spans="1:20" ht="28.5" x14ac:dyDescent="0.25">
      <c r="A149" s="3" t="s">
        <v>261</v>
      </c>
      <c r="B149" s="3" t="s">
        <v>258</v>
      </c>
      <c r="C149" s="3">
        <v>2</v>
      </c>
      <c r="D149" s="3">
        <v>16</v>
      </c>
      <c r="E149" s="2" t="s">
        <v>432</v>
      </c>
      <c r="F149" s="3">
        <v>11</v>
      </c>
      <c r="G149" s="4" t="s">
        <v>573</v>
      </c>
      <c r="H149" s="4">
        <v>2</v>
      </c>
      <c r="I149" s="4"/>
      <c r="J149" s="4">
        <v>1</v>
      </c>
      <c r="K149" s="4"/>
      <c r="L149" s="3">
        <f t="shared" si="4"/>
        <v>8</v>
      </c>
      <c r="M149" s="4"/>
      <c r="N149" s="4"/>
      <c r="O149" s="4"/>
      <c r="P149" s="4"/>
      <c r="Q149" s="4"/>
      <c r="R149" s="4"/>
      <c r="S149" s="3">
        <f t="shared" si="5"/>
        <v>0</v>
      </c>
      <c r="T149" s="5"/>
    </row>
    <row r="150" spans="1:20" ht="42.75" x14ac:dyDescent="0.25">
      <c r="A150" s="3" t="s">
        <v>261</v>
      </c>
      <c r="B150" s="3" t="s">
        <v>258</v>
      </c>
      <c r="C150" s="3">
        <v>2</v>
      </c>
      <c r="D150" s="3">
        <v>17</v>
      </c>
      <c r="E150" s="2" t="s">
        <v>433</v>
      </c>
      <c r="F150" s="3">
        <v>15</v>
      </c>
      <c r="G150" s="4" t="s">
        <v>573</v>
      </c>
      <c r="H150" s="4">
        <v>3</v>
      </c>
      <c r="I150" s="4">
        <v>11</v>
      </c>
      <c r="J150" s="4"/>
      <c r="K150" s="4"/>
      <c r="L150" s="3">
        <f t="shared" si="4"/>
        <v>1</v>
      </c>
      <c r="M150" s="4"/>
      <c r="N150" s="4"/>
      <c r="O150" s="4"/>
      <c r="P150" s="4"/>
      <c r="Q150" s="4"/>
      <c r="R150" s="4"/>
      <c r="S150" s="3">
        <f t="shared" si="5"/>
        <v>0</v>
      </c>
      <c r="T150" s="5"/>
    </row>
    <row r="151" spans="1:20" ht="28.5" x14ac:dyDescent="0.25">
      <c r="A151" s="3" t="s">
        <v>263</v>
      </c>
      <c r="B151" s="3" t="s">
        <v>258</v>
      </c>
      <c r="C151" s="3">
        <v>3</v>
      </c>
      <c r="D151" s="3">
        <v>1</v>
      </c>
      <c r="E151" s="2" t="s">
        <v>434</v>
      </c>
      <c r="F151" s="3">
        <v>6</v>
      </c>
      <c r="G151" s="4" t="s">
        <v>573</v>
      </c>
      <c r="H151" s="4">
        <v>1</v>
      </c>
      <c r="I151" s="4">
        <v>1</v>
      </c>
      <c r="J151" s="4"/>
      <c r="K151" s="4"/>
      <c r="L151" s="3">
        <f t="shared" si="4"/>
        <v>4</v>
      </c>
      <c r="M151" s="4"/>
      <c r="N151" s="4"/>
      <c r="O151" s="4"/>
      <c r="P151" s="4"/>
      <c r="Q151" s="4"/>
      <c r="R151" s="4"/>
      <c r="S151" s="3">
        <f t="shared" si="5"/>
        <v>0</v>
      </c>
      <c r="T151" s="5"/>
    </row>
    <row r="152" spans="1:20" x14ac:dyDescent="0.25">
      <c r="A152" s="3" t="s">
        <v>263</v>
      </c>
      <c r="B152" s="3" t="s">
        <v>258</v>
      </c>
      <c r="C152" s="3">
        <v>3</v>
      </c>
      <c r="D152" s="3">
        <v>2</v>
      </c>
      <c r="E152" s="2" t="s">
        <v>435</v>
      </c>
      <c r="F152" s="3">
        <v>3</v>
      </c>
      <c r="G152" s="4" t="s">
        <v>572</v>
      </c>
      <c r="H152" s="4"/>
      <c r="I152" s="4"/>
      <c r="J152" s="4"/>
      <c r="K152" s="4"/>
      <c r="L152" s="3">
        <f t="shared" si="4"/>
        <v>3</v>
      </c>
      <c r="M152" s="4"/>
      <c r="N152" s="4"/>
      <c r="O152" s="4"/>
      <c r="P152" s="4"/>
      <c r="Q152" s="4"/>
      <c r="R152" s="4"/>
      <c r="S152" s="3">
        <f t="shared" si="5"/>
        <v>0</v>
      </c>
      <c r="T152" s="5"/>
    </row>
    <row r="153" spans="1:20" x14ac:dyDescent="0.25">
      <c r="A153" s="3" t="s">
        <v>263</v>
      </c>
      <c r="B153" s="3" t="s">
        <v>258</v>
      </c>
      <c r="C153" s="3">
        <v>3</v>
      </c>
      <c r="D153" s="3">
        <v>3</v>
      </c>
      <c r="E153" s="2" t="s">
        <v>436</v>
      </c>
      <c r="F153" s="3">
        <v>4</v>
      </c>
      <c r="G153" s="4" t="s">
        <v>572</v>
      </c>
      <c r="H153" s="4"/>
      <c r="I153" s="4"/>
      <c r="J153" s="4"/>
      <c r="K153" s="4"/>
      <c r="L153" s="3">
        <f t="shared" si="4"/>
        <v>4</v>
      </c>
      <c r="M153" s="4"/>
      <c r="N153" s="4"/>
      <c r="O153" s="4"/>
      <c r="P153" s="4"/>
      <c r="Q153" s="4"/>
      <c r="R153" s="4"/>
      <c r="S153" s="3">
        <f t="shared" si="5"/>
        <v>0</v>
      </c>
      <c r="T153" s="5"/>
    </row>
    <row r="154" spans="1:20" x14ac:dyDescent="0.25">
      <c r="A154" s="3" t="s">
        <v>263</v>
      </c>
      <c r="B154" s="3" t="s">
        <v>258</v>
      </c>
      <c r="C154" s="3">
        <v>3</v>
      </c>
      <c r="D154" s="3">
        <v>4</v>
      </c>
      <c r="E154" s="2" t="s">
        <v>411</v>
      </c>
      <c r="F154" s="3">
        <v>3</v>
      </c>
      <c r="G154" s="4" t="s">
        <v>572</v>
      </c>
      <c r="H154" s="4"/>
      <c r="I154" s="4"/>
      <c r="J154" s="4"/>
      <c r="K154" s="4"/>
      <c r="L154" s="3">
        <f t="shared" si="4"/>
        <v>3</v>
      </c>
      <c r="M154" s="4"/>
      <c r="N154" s="4"/>
      <c r="O154" s="4"/>
      <c r="P154" s="4"/>
      <c r="Q154" s="4"/>
      <c r="R154" s="4"/>
      <c r="S154" s="3">
        <f t="shared" si="5"/>
        <v>0</v>
      </c>
      <c r="T154" s="5"/>
    </row>
    <row r="155" spans="1:20" x14ac:dyDescent="0.25">
      <c r="A155" s="3" t="s">
        <v>263</v>
      </c>
      <c r="B155" s="3" t="s">
        <v>258</v>
      </c>
      <c r="C155" s="3">
        <v>3</v>
      </c>
      <c r="D155" s="3">
        <v>5</v>
      </c>
      <c r="E155" s="2" t="s">
        <v>412</v>
      </c>
      <c r="F155" s="3">
        <v>4</v>
      </c>
      <c r="G155" s="4" t="s">
        <v>572</v>
      </c>
      <c r="H155" s="4"/>
      <c r="I155" s="4"/>
      <c r="J155" s="4"/>
      <c r="K155" s="4"/>
      <c r="L155" s="3">
        <f t="shared" si="4"/>
        <v>4</v>
      </c>
      <c r="M155" s="4"/>
      <c r="N155" s="4"/>
      <c r="O155" s="4"/>
      <c r="P155" s="4"/>
      <c r="Q155" s="4"/>
      <c r="R155" s="4"/>
      <c r="S155" s="3">
        <f t="shared" si="5"/>
        <v>0</v>
      </c>
      <c r="T155" s="5"/>
    </row>
    <row r="156" spans="1:20" ht="28.5" x14ac:dyDescent="0.25">
      <c r="A156" s="3" t="s">
        <v>263</v>
      </c>
      <c r="B156" s="3" t="s">
        <v>258</v>
      </c>
      <c r="C156" s="3">
        <v>3</v>
      </c>
      <c r="D156" s="3">
        <v>6</v>
      </c>
      <c r="E156" s="2" t="s">
        <v>437</v>
      </c>
      <c r="F156" s="3">
        <v>3</v>
      </c>
      <c r="G156" s="4" t="s">
        <v>573</v>
      </c>
      <c r="H156" s="4"/>
      <c r="I156" s="4">
        <v>1</v>
      </c>
      <c r="J156" s="4"/>
      <c r="K156" s="4"/>
      <c r="L156" s="3">
        <f t="shared" si="4"/>
        <v>2</v>
      </c>
      <c r="M156" s="4"/>
      <c r="N156" s="4"/>
      <c r="O156" s="4"/>
      <c r="P156" s="4"/>
      <c r="Q156" s="4"/>
      <c r="R156" s="4"/>
      <c r="S156" s="3">
        <f t="shared" si="5"/>
        <v>0</v>
      </c>
      <c r="T156" s="5"/>
    </row>
    <row r="157" spans="1:20" x14ac:dyDescent="0.25">
      <c r="A157" s="3" t="s">
        <v>263</v>
      </c>
      <c r="B157" s="3" t="s">
        <v>258</v>
      </c>
      <c r="C157" s="3">
        <v>3</v>
      </c>
      <c r="D157" s="3">
        <v>7</v>
      </c>
      <c r="E157" s="2" t="s">
        <v>414</v>
      </c>
      <c r="F157" s="3">
        <v>3</v>
      </c>
      <c r="G157" s="4" t="s">
        <v>572</v>
      </c>
      <c r="H157" s="4"/>
      <c r="I157" s="4"/>
      <c r="J157" s="4"/>
      <c r="K157" s="4"/>
      <c r="L157" s="3">
        <f t="shared" si="4"/>
        <v>3</v>
      </c>
      <c r="M157" s="4"/>
      <c r="N157" s="4"/>
      <c r="O157" s="4"/>
      <c r="P157" s="4"/>
      <c r="Q157" s="4"/>
      <c r="R157" s="4"/>
      <c r="S157" s="3">
        <f t="shared" si="5"/>
        <v>0</v>
      </c>
      <c r="T157" s="5"/>
    </row>
    <row r="158" spans="1:20" x14ac:dyDescent="0.25">
      <c r="A158" s="3" t="s">
        <v>263</v>
      </c>
      <c r="B158" s="3" t="s">
        <v>258</v>
      </c>
      <c r="C158" s="3">
        <v>3</v>
      </c>
      <c r="D158" s="3">
        <v>8</v>
      </c>
      <c r="E158" s="2" t="s">
        <v>438</v>
      </c>
      <c r="F158" s="3">
        <v>2</v>
      </c>
      <c r="G158" s="4" t="s">
        <v>572</v>
      </c>
      <c r="H158" s="4"/>
      <c r="I158" s="4"/>
      <c r="J158" s="4"/>
      <c r="K158" s="4"/>
      <c r="L158" s="3">
        <f t="shared" si="4"/>
        <v>2</v>
      </c>
      <c r="M158" s="4"/>
      <c r="N158" s="4"/>
      <c r="O158" s="4"/>
      <c r="P158" s="4"/>
      <c r="Q158" s="4"/>
      <c r="R158" s="4"/>
      <c r="S158" s="3">
        <f t="shared" si="5"/>
        <v>0</v>
      </c>
      <c r="T158" s="5"/>
    </row>
    <row r="159" spans="1:20" x14ac:dyDescent="0.25">
      <c r="A159" s="3" t="s">
        <v>263</v>
      </c>
      <c r="B159" s="3" t="s">
        <v>258</v>
      </c>
      <c r="C159" s="3">
        <v>3</v>
      </c>
      <c r="D159" s="3">
        <v>9</v>
      </c>
      <c r="E159" s="2" t="s">
        <v>416</v>
      </c>
      <c r="F159" s="3">
        <v>4</v>
      </c>
      <c r="G159" s="4" t="s">
        <v>572</v>
      </c>
      <c r="H159" s="4"/>
      <c r="I159" s="4"/>
      <c r="J159" s="4"/>
      <c r="K159" s="4"/>
      <c r="L159" s="3">
        <f t="shared" si="4"/>
        <v>4</v>
      </c>
      <c r="M159" s="4"/>
      <c r="N159" s="4"/>
      <c r="O159" s="4"/>
      <c r="P159" s="4"/>
      <c r="Q159" s="4"/>
      <c r="R159" s="4"/>
      <c r="S159" s="3">
        <f t="shared" si="5"/>
        <v>0</v>
      </c>
      <c r="T159" s="5"/>
    </row>
    <row r="160" spans="1:20" ht="28.5" x14ac:dyDescent="0.25">
      <c r="A160" s="3" t="s">
        <v>263</v>
      </c>
      <c r="B160" s="3" t="s">
        <v>258</v>
      </c>
      <c r="C160" s="3">
        <v>3</v>
      </c>
      <c r="D160" s="3">
        <v>10</v>
      </c>
      <c r="E160" s="2" t="s">
        <v>439</v>
      </c>
      <c r="F160" s="3">
        <v>7</v>
      </c>
      <c r="G160" s="4" t="s">
        <v>573</v>
      </c>
      <c r="H160" s="4">
        <v>1</v>
      </c>
      <c r="I160" s="4"/>
      <c r="J160" s="4"/>
      <c r="K160" s="4"/>
      <c r="L160" s="3">
        <f t="shared" si="4"/>
        <v>6</v>
      </c>
      <c r="M160" s="4"/>
      <c r="N160" s="4"/>
      <c r="O160" s="4"/>
      <c r="P160" s="4"/>
      <c r="Q160" s="4"/>
      <c r="R160" s="4"/>
      <c r="S160" s="3">
        <f t="shared" si="5"/>
        <v>0</v>
      </c>
      <c r="T160" s="5"/>
    </row>
    <row r="161" spans="1:20" ht="28.5" x14ac:dyDescent="0.25">
      <c r="A161" s="3" t="s">
        <v>263</v>
      </c>
      <c r="B161" s="3" t="s">
        <v>258</v>
      </c>
      <c r="C161" s="3">
        <v>3</v>
      </c>
      <c r="D161" s="3">
        <v>11</v>
      </c>
      <c r="E161" s="2" t="s">
        <v>440</v>
      </c>
      <c r="F161" s="3">
        <v>8</v>
      </c>
      <c r="G161" s="4" t="s">
        <v>573</v>
      </c>
      <c r="H161" s="4">
        <v>1</v>
      </c>
      <c r="I161" s="4"/>
      <c r="J161" s="4">
        <v>1</v>
      </c>
      <c r="K161" s="4"/>
      <c r="L161" s="3">
        <f t="shared" si="4"/>
        <v>6</v>
      </c>
      <c r="M161" s="4"/>
      <c r="N161" s="4"/>
      <c r="O161" s="4"/>
      <c r="P161" s="4"/>
      <c r="Q161" s="4"/>
      <c r="R161" s="4"/>
      <c r="S161" s="3">
        <f t="shared" si="5"/>
        <v>0</v>
      </c>
      <c r="T161" s="5"/>
    </row>
    <row r="162" spans="1:20" ht="28.5" x14ac:dyDescent="0.25">
      <c r="A162" s="3" t="s">
        <v>263</v>
      </c>
      <c r="B162" s="3" t="s">
        <v>258</v>
      </c>
      <c r="C162" s="3">
        <v>3</v>
      </c>
      <c r="D162" s="3">
        <v>12</v>
      </c>
      <c r="E162" s="2" t="s">
        <v>441</v>
      </c>
      <c r="F162" s="3">
        <v>12</v>
      </c>
      <c r="G162" s="4" t="s">
        <v>573</v>
      </c>
      <c r="H162" s="4">
        <v>1</v>
      </c>
      <c r="I162" s="4"/>
      <c r="J162" s="4"/>
      <c r="K162" s="4"/>
      <c r="L162" s="3">
        <f t="shared" si="4"/>
        <v>11</v>
      </c>
      <c r="M162" s="4"/>
      <c r="N162" s="4"/>
      <c r="O162" s="4"/>
      <c r="P162" s="4"/>
      <c r="Q162" s="4"/>
      <c r="R162" s="4"/>
      <c r="S162" s="3">
        <f t="shared" si="5"/>
        <v>0</v>
      </c>
      <c r="T162" s="5"/>
    </row>
    <row r="163" spans="1:20" x14ac:dyDescent="0.25">
      <c r="A163" s="3" t="s">
        <v>265</v>
      </c>
      <c r="B163" s="3" t="s">
        <v>258</v>
      </c>
      <c r="C163" s="3">
        <v>4</v>
      </c>
      <c r="D163" s="3">
        <v>1</v>
      </c>
      <c r="E163" s="2" t="s">
        <v>442</v>
      </c>
      <c r="F163" s="3">
        <v>3</v>
      </c>
      <c r="G163" s="4" t="s">
        <v>572</v>
      </c>
      <c r="H163" s="4"/>
      <c r="I163" s="4"/>
      <c r="J163" s="4"/>
      <c r="K163" s="4"/>
      <c r="L163" s="3">
        <f t="shared" si="4"/>
        <v>3</v>
      </c>
      <c r="M163" s="4"/>
      <c r="N163" s="4"/>
      <c r="O163" s="4"/>
      <c r="P163" s="4"/>
      <c r="Q163" s="4"/>
      <c r="R163" s="4"/>
      <c r="S163" s="3">
        <f t="shared" si="5"/>
        <v>0</v>
      </c>
      <c r="T163" s="5"/>
    </row>
    <row r="164" spans="1:20" x14ac:dyDescent="0.25">
      <c r="A164" s="3" t="s">
        <v>265</v>
      </c>
      <c r="B164" s="3" t="s">
        <v>258</v>
      </c>
      <c r="C164" s="3">
        <v>4</v>
      </c>
      <c r="D164" s="3">
        <v>2</v>
      </c>
      <c r="E164" s="2" t="s">
        <v>435</v>
      </c>
      <c r="F164" s="3">
        <v>3</v>
      </c>
      <c r="G164" s="4" t="s">
        <v>572</v>
      </c>
      <c r="H164" s="4"/>
      <c r="I164" s="4"/>
      <c r="J164" s="4"/>
      <c r="K164" s="4"/>
      <c r="L164" s="3">
        <f t="shared" si="4"/>
        <v>3</v>
      </c>
      <c r="M164" s="4"/>
      <c r="N164" s="4"/>
      <c r="O164" s="4"/>
      <c r="P164" s="4"/>
      <c r="Q164" s="4"/>
      <c r="R164" s="4"/>
      <c r="S164" s="3">
        <f t="shared" si="5"/>
        <v>0</v>
      </c>
      <c r="T164" s="5"/>
    </row>
    <row r="165" spans="1:20" ht="28.5" x14ac:dyDescent="0.25">
      <c r="A165" s="3" t="s">
        <v>265</v>
      </c>
      <c r="B165" s="3" t="s">
        <v>258</v>
      </c>
      <c r="C165" s="3">
        <v>4</v>
      </c>
      <c r="D165" s="3">
        <v>3</v>
      </c>
      <c r="E165" s="2" t="s">
        <v>443</v>
      </c>
      <c r="F165" s="3">
        <v>4</v>
      </c>
      <c r="G165" s="4" t="s">
        <v>573</v>
      </c>
      <c r="H165" s="4">
        <v>1</v>
      </c>
      <c r="I165" s="4"/>
      <c r="J165" s="4"/>
      <c r="K165" s="4"/>
      <c r="L165" s="3">
        <f t="shared" si="4"/>
        <v>3</v>
      </c>
      <c r="M165" s="4"/>
      <c r="N165" s="4"/>
      <c r="O165" s="4"/>
      <c r="P165" s="4"/>
      <c r="Q165" s="4"/>
      <c r="R165" s="4"/>
      <c r="S165" s="3">
        <f t="shared" si="5"/>
        <v>0</v>
      </c>
      <c r="T165" s="5"/>
    </row>
    <row r="166" spans="1:20" x14ac:dyDescent="0.25">
      <c r="A166" s="3" t="s">
        <v>265</v>
      </c>
      <c r="B166" s="3" t="s">
        <v>258</v>
      </c>
      <c r="C166" s="3">
        <v>4</v>
      </c>
      <c r="D166" s="3">
        <v>4</v>
      </c>
      <c r="E166" s="2" t="s">
        <v>411</v>
      </c>
      <c r="F166" s="3">
        <v>3</v>
      </c>
      <c r="G166" s="4" t="s">
        <v>572</v>
      </c>
      <c r="H166" s="4"/>
      <c r="I166" s="4"/>
      <c r="J166" s="4"/>
      <c r="K166" s="4"/>
      <c r="L166" s="3">
        <f t="shared" si="4"/>
        <v>3</v>
      </c>
      <c r="M166" s="4"/>
      <c r="N166" s="4"/>
      <c r="O166" s="4"/>
      <c r="P166" s="4"/>
      <c r="Q166" s="4"/>
      <c r="R166" s="4"/>
      <c r="S166" s="3">
        <f t="shared" si="5"/>
        <v>0</v>
      </c>
      <c r="T166" s="5"/>
    </row>
    <row r="167" spans="1:20" x14ac:dyDescent="0.25">
      <c r="A167" s="3" t="s">
        <v>265</v>
      </c>
      <c r="B167" s="3" t="s">
        <v>258</v>
      </c>
      <c r="C167" s="3">
        <v>4</v>
      </c>
      <c r="D167" s="3">
        <v>5</v>
      </c>
      <c r="E167" s="2" t="s">
        <v>412</v>
      </c>
      <c r="F167" s="3">
        <v>4</v>
      </c>
      <c r="G167" s="4" t="s">
        <v>572</v>
      </c>
      <c r="H167" s="4"/>
      <c r="I167" s="4"/>
      <c r="J167" s="4"/>
      <c r="K167" s="4"/>
      <c r="L167" s="3">
        <f t="shared" si="4"/>
        <v>4</v>
      </c>
      <c r="M167" s="4"/>
      <c r="N167" s="4"/>
      <c r="O167" s="4"/>
      <c r="P167" s="4"/>
      <c r="Q167" s="4"/>
      <c r="R167" s="4"/>
      <c r="S167" s="3">
        <f t="shared" si="5"/>
        <v>0</v>
      </c>
      <c r="T167" s="5"/>
    </row>
    <row r="168" spans="1:20" ht="28.5" x14ac:dyDescent="0.25">
      <c r="A168" s="3" t="s">
        <v>265</v>
      </c>
      <c r="B168" s="3" t="s">
        <v>258</v>
      </c>
      <c r="C168" s="3">
        <v>4</v>
      </c>
      <c r="D168" s="3">
        <v>6</v>
      </c>
      <c r="E168" s="2" t="s">
        <v>444</v>
      </c>
      <c r="F168" s="3">
        <v>3</v>
      </c>
      <c r="G168" s="4" t="s">
        <v>573</v>
      </c>
      <c r="H168" s="4">
        <v>1</v>
      </c>
      <c r="I168" s="4"/>
      <c r="J168" s="4"/>
      <c r="K168" s="4"/>
      <c r="L168" s="3">
        <f t="shared" si="4"/>
        <v>2</v>
      </c>
      <c r="M168" s="4"/>
      <c r="N168" s="4"/>
      <c r="O168" s="4"/>
      <c r="P168" s="4"/>
      <c r="Q168" s="4"/>
      <c r="R168" s="4"/>
      <c r="S168" s="3">
        <f t="shared" si="5"/>
        <v>0</v>
      </c>
      <c r="T168" s="5"/>
    </row>
    <row r="169" spans="1:20" x14ac:dyDescent="0.25">
      <c r="A169" s="3" t="s">
        <v>265</v>
      </c>
      <c r="B169" s="3" t="s">
        <v>258</v>
      </c>
      <c r="C169" s="3">
        <v>4</v>
      </c>
      <c r="D169" s="3">
        <v>7</v>
      </c>
      <c r="E169" s="2" t="s">
        <v>414</v>
      </c>
      <c r="F169" s="3">
        <v>3</v>
      </c>
      <c r="G169" s="4" t="s">
        <v>572</v>
      </c>
      <c r="H169" s="4"/>
      <c r="I169" s="4"/>
      <c r="J169" s="4"/>
      <c r="K169" s="4"/>
      <c r="L169" s="3">
        <f t="shared" si="4"/>
        <v>3</v>
      </c>
      <c r="M169" s="4"/>
      <c r="N169" s="4"/>
      <c r="O169" s="4"/>
      <c r="P169" s="4"/>
      <c r="Q169" s="4"/>
      <c r="R169" s="4"/>
      <c r="S169" s="3">
        <f t="shared" si="5"/>
        <v>0</v>
      </c>
      <c r="T169" s="5"/>
    </row>
    <row r="170" spans="1:20" x14ac:dyDescent="0.25">
      <c r="A170" s="3" t="s">
        <v>265</v>
      </c>
      <c r="B170" s="3" t="s">
        <v>258</v>
      </c>
      <c r="C170" s="3">
        <v>4</v>
      </c>
      <c r="D170" s="3">
        <v>8</v>
      </c>
      <c r="E170" s="2" t="s">
        <v>415</v>
      </c>
      <c r="F170" s="3">
        <v>3</v>
      </c>
      <c r="G170" s="4" t="s">
        <v>572</v>
      </c>
      <c r="H170" s="4"/>
      <c r="I170" s="4"/>
      <c r="J170" s="4"/>
      <c r="K170" s="4"/>
      <c r="L170" s="3">
        <f t="shared" si="4"/>
        <v>3</v>
      </c>
      <c r="M170" s="4"/>
      <c r="N170" s="4"/>
      <c r="O170" s="4"/>
      <c r="P170" s="4"/>
      <c r="Q170" s="4"/>
      <c r="R170" s="4"/>
      <c r="S170" s="3">
        <f t="shared" si="5"/>
        <v>0</v>
      </c>
      <c r="T170" s="5"/>
    </row>
    <row r="171" spans="1:20" x14ac:dyDescent="0.25">
      <c r="A171" s="3" t="s">
        <v>265</v>
      </c>
      <c r="B171" s="3" t="s">
        <v>258</v>
      </c>
      <c r="C171" s="3">
        <v>4</v>
      </c>
      <c r="D171" s="3">
        <v>9</v>
      </c>
      <c r="E171" s="2" t="s">
        <v>416</v>
      </c>
      <c r="F171" s="3">
        <v>4</v>
      </c>
      <c r="G171" s="4" t="s">
        <v>572</v>
      </c>
      <c r="H171" s="4"/>
      <c r="I171" s="4"/>
      <c r="J171" s="4"/>
      <c r="K171" s="4"/>
      <c r="L171" s="3">
        <f t="shared" si="4"/>
        <v>4</v>
      </c>
      <c r="M171" s="4"/>
      <c r="N171" s="4"/>
      <c r="O171" s="4"/>
      <c r="P171" s="4"/>
      <c r="Q171" s="4"/>
      <c r="R171" s="4"/>
      <c r="S171" s="3">
        <f t="shared" si="5"/>
        <v>0</v>
      </c>
      <c r="T171" s="5"/>
    </row>
    <row r="172" spans="1:20" ht="28.5" x14ac:dyDescent="0.25">
      <c r="A172" s="3" t="s">
        <v>265</v>
      </c>
      <c r="B172" s="3" t="s">
        <v>258</v>
      </c>
      <c r="C172" s="3">
        <v>4</v>
      </c>
      <c r="D172" s="3">
        <v>10</v>
      </c>
      <c r="E172" s="2" t="s">
        <v>445</v>
      </c>
      <c r="F172" s="3">
        <v>6</v>
      </c>
      <c r="G172" s="4" t="s">
        <v>573</v>
      </c>
      <c r="H172" s="4">
        <v>2</v>
      </c>
      <c r="I172" s="4"/>
      <c r="J172" s="4"/>
      <c r="K172" s="4"/>
      <c r="L172" s="3">
        <f t="shared" si="4"/>
        <v>4</v>
      </c>
      <c r="M172" s="4"/>
      <c r="N172" s="4"/>
      <c r="O172" s="4"/>
      <c r="P172" s="4"/>
      <c r="Q172" s="4"/>
      <c r="R172" s="4"/>
      <c r="S172" s="3">
        <f t="shared" si="5"/>
        <v>0</v>
      </c>
      <c r="T172" s="5"/>
    </row>
    <row r="173" spans="1:20" ht="28.5" x14ac:dyDescent="0.25">
      <c r="A173" s="3" t="s">
        <v>265</v>
      </c>
      <c r="B173" s="3" t="s">
        <v>258</v>
      </c>
      <c r="C173" s="3">
        <v>4</v>
      </c>
      <c r="D173" s="3">
        <v>11</v>
      </c>
      <c r="E173" s="2" t="s">
        <v>446</v>
      </c>
      <c r="F173" s="3">
        <v>7</v>
      </c>
      <c r="G173" s="4" t="s">
        <v>573</v>
      </c>
      <c r="H173" s="4">
        <v>1</v>
      </c>
      <c r="I173" s="4"/>
      <c r="J173" s="4">
        <v>1</v>
      </c>
      <c r="K173" s="4"/>
      <c r="L173" s="3">
        <f t="shared" si="4"/>
        <v>5</v>
      </c>
      <c r="M173" s="4"/>
      <c r="N173" s="4"/>
      <c r="O173" s="4"/>
      <c r="P173" s="4"/>
      <c r="Q173" s="4"/>
      <c r="R173" s="4"/>
      <c r="S173" s="3">
        <f t="shared" si="5"/>
        <v>0</v>
      </c>
      <c r="T173" s="5"/>
    </row>
    <row r="174" spans="1:20" ht="42.75" x14ac:dyDescent="0.25">
      <c r="A174" s="3" t="s">
        <v>265</v>
      </c>
      <c r="B174" s="3" t="s">
        <v>258</v>
      </c>
      <c r="C174" s="3">
        <v>4</v>
      </c>
      <c r="D174" s="3">
        <v>12</v>
      </c>
      <c r="E174" s="2" t="s">
        <v>447</v>
      </c>
      <c r="F174" s="3">
        <v>15</v>
      </c>
      <c r="G174" s="4" t="s">
        <v>573</v>
      </c>
      <c r="H174" s="4">
        <v>1</v>
      </c>
      <c r="I174" s="4"/>
      <c r="J174" s="4"/>
      <c r="K174" s="4"/>
      <c r="L174" s="3">
        <f t="shared" si="4"/>
        <v>14</v>
      </c>
      <c r="M174" s="4"/>
      <c r="N174" s="4"/>
      <c r="O174" s="4"/>
      <c r="P174" s="4"/>
      <c r="Q174" s="4"/>
      <c r="R174" s="4"/>
      <c r="S174" s="3">
        <f t="shared" si="5"/>
        <v>0</v>
      </c>
      <c r="T174" s="5"/>
    </row>
    <row r="175" spans="1:20" ht="28.5" x14ac:dyDescent="0.25">
      <c r="A175" s="3" t="s">
        <v>267</v>
      </c>
      <c r="B175" s="3" t="s">
        <v>258</v>
      </c>
      <c r="C175" s="3">
        <v>5</v>
      </c>
      <c r="D175" s="3">
        <v>1</v>
      </c>
      <c r="E175" s="2" t="s">
        <v>402</v>
      </c>
      <c r="F175" s="3">
        <v>2</v>
      </c>
      <c r="G175" s="4" t="s">
        <v>573</v>
      </c>
      <c r="H175" s="4">
        <v>1</v>
      </c>
      <c r="I175" s="4"/>
      <c r="J175" s="4"/>
      <c r="K175" s="4"/>
      <c r="L175" s="3">
        <f t="shared" si="4"/>
        <v>1</v>
      </c>
      <c r="M175" s="4"/>
      <c r="N175" s="4"/>
      <c r="O175" s="4"/>
      <c r="P175" s="4"/>
      <c r="Q175" s="4"/>
      <c r="R175" s="4"/>
      <c r="S175" s="3">
        <f t="shared" si="5"/>
        <v>0</v>
      </c>
      <c r="T175" s="5"/>
    </row>
    <row r="176" spans="1:20" x14ac:dyDescent="0.25">
      <c r="A176" s="3" t="s">
        <v>267</v>
      </c>
      <c r="B176" s="3" t="s">
        <v>258</v>
      </c>
      <c r="C176" s="3">
        <v>5</v>
      </c>
      <c r="D176" s="3">
        <v>2</v>
      </c>
      <c r="E176" s="2" t="s">
        <v>435</v>
      </c>
      <c r="F176" s="3">
        <v>3</v>
      </c>
      <c r="G176" s="4" t="s">
        <v>572</v>
      </c>
      <c r="H176" s="4"/>
      <c r="I176" s="4"/>
      <c r="J176" s="4"/>
      <c r="K176" s="4"/>
      <c r="L176" s="3">
        <f t="shared" si="4"/>
        <v>3</v>
      </c>
      <c r="M176" s="4"/>
      <c r="N176" s="4"/>
      <c r="O176" s="4"/>
      <c r="P176" s="4"/>
      <c r="Q176" s="4"/>
      <c r="R176" s="4"/>
      <c r="S176" s="3">
        <f t="shared" si="5"/>
        <v>0</v>
      </c>
      <c r="T176" s="5"/>
    </row>
    <row r="177" spans="1:20" ht="28.5" x14ac:dyDescent="0.25">
      <c r="A177" s="3" t="s">
        <v>267</v>
      </c>
      <c r="B177" s="3" t="s">
        <v>258</v>
      </c>
      <c r="C177" s="3">
        <v>5</v>
      </c>
      <c r="D177" s="3">
        <v>3</v>
      </c>
      <c r="E177" s="2" t="s">
        <v>448</v>
      </c>
      <c r="F177" s="3">
        <v>4</v>
      </c>
      <c r="G177" s="4" t="s">
        <v>573</v>
      </c>
      <c r="H177" s="4"/>
      <c r="I177" s="4"/>
      <c r="J177" s="4"/>
      <c r="K177" s="4">
        <v>1</v>
      </c>
      <c r="L177" s="3">
        <f t="shared" si="4"/>
        <v>3</v>
      </c>
      <c r="M177" s="4"/>
      <c r="N177" s="4"/>
      <c r="O177" s="4"/>
      <c r="P177" s="4">
        <v>1</v>
      </c>
      <c r="Q177" s="4"/>
      <c r="R177" s="4"/>
      <c r="S177" s="3">
        <f t="shared" si="5"/>
        <v>1</v>
      </c>
      <c r="T177" s="5" t="inlineStr">
        <is>
          <t>Yazı sistemi karışıklığı.</t>
        </is>
      </c>
    </row>
    <row r="178" spans="1:20" x14ac:dyDescent="0.25">
      <c r="A178" s="3" t="s">
        <v>267</v>
      </c>
      <c r="B178" s="3" t="s">
        <v>258</v>
      </c>
      <c r="C178" s="3">
        <v>5</v>
      </c>
      <c r="D178" s="3">
        <v>4</v>
      </c>
      <c r="E178" s="2" t="s">
        <v>411</v>
      </c>
      <c r="F178" s="3">
        <v>3</v>
      </c>
      <c r="G178" s="4" t="s">
        <v>572</v>
      </c>
      <c r="H178" s="4"/>
      <c r="I178" s="4"/>
      <c r="J178" s="4"/>
      <c r="K178" s="4"/>
      <c r="L178" s="3">
        <f t="shared" si="4"/>
        <v>3</v>
      </c>
      <c r="M178" s="4"/>
      <c r="N178" s="4"/>
      <c r="O178" s="4"/>
      <c r="P178" s="4"/>
      <c r="Q178" s="4"/>
      <c r="R178" s="4"/>
      <c r="S178" s="3">
        <f t="shared" si="5"/>
        <v>0</v>
      </c>
      <c r="T178" s="5"/>
    </row>
    <row r="179" spans="1:20" x14ac:dyDescent="0.25">
      <c r="A179" s="3" t="s">
        <v>267</v>
      </c>
      <c r="B179" s="3" t="s">
        <v>258</v>
      </c>
      <c r="C179" s="3">
        <v>5</v>
      </c>
      <c r="D179" s="3">
        <v>5</v>
      </c>
      <c r="E179" s="2" t="s">
        <v>412</v>
      </c>
      <c r="F179" s="3">
        <v>4</v>
      </c>
      <c r="G179" s="4" t="s">
        <v>572</v>
      </c>
      <c r="H179" s="4"/>
      <c r="I179" s="4"/>
      <c r="J179" s="4"/>
      <c r="K179" s="4"/>
      <c r="L179" s="3">
        <f t="shared" si="4"/>
        <v>4</v>
      </c>
      <c r="M179" s="4"/>
      <c r="N179" s="4"/>
      <c r="O179" s="4"/>
      <c r="P179" s="4"/>
      <c r="Q179" s="4"/>
      <c r="R179" s="4"/>
      <c r="S179" s="3">
        <f t="shared" si="5"/>
        <v>0</v>
      </c>
      <c r="T179" s="5"/>
    </row>
    <row r="180" spans="1:20" x14ac:dyDescent="0.25">
      <c r="A180" s="3" t="s">
        <v>267</v>
      </c>
      <c r="B180" s="3" t="s">
        <v>258</v>
      </c>
      <c r="C180" s="3">
        <v>5</v>
      </c>
      <c r="D180" s="3">
        <v>6</v>
      </c>
      <c r="E180" s="2" t="s">
        <v>424</v>
      </c>
      <c r="F180" s="3">
        <v>3</v>
      </c>
      <c r="G180" s="4" t="s">
        <v>572</v>
      </c>
      <c r="H180" s="4"/>
      <c r="I180" s="4"/>
      <c r="J180" s="4"/>
      <c r="K180" s="4"/>
      <c r="L180" s="3">
        <f t="shared" si="4"/>
        <v>3</v>
      </c>
      <c r="M180" s="4"/>
      <c r="N180" s="4"/>
      <c r="O180" s="4"/>
      <c r="P180" s="4"/>
      <c r="Q180" s="4"/>
      <c r="R180" s="4"/>
      <c r="S180" s="3">
        <f t="shared" si="5"/>
        <v>0</v>
      </c>
      <c r="T180" s="5"/>
    </row>
    <row r="181" spans="1:20" x14ac:dyDescent="0.25">
      <c r="A181" s="3" t="s">
        <v>267</v>
      </c>
      <c r="B181" s="3" t="s">
        <v>258</v>
      </c>
      <c r="C181" s="3">
        <v>5</v>
      </c>
      <c r="D181" s="3">
        <v>7</v>
      </c>
      <c r="E181" s="2" t="s">
        <v>414</v>
      </c>
      <c r="F181" s="3">
        <v>3</v>
      </c>
      <c r="G181" s="4" t="s">
        <v>572</v>
      </c>
      <c r="H181" s="4"/>
      <c r="I181" s="4"/>
      <c r="J181" s="4"/>
      <c r="K181" s="4"/>
      <c r="L181" s="3">
        <f t="shared" si="4"/>
        <v>3</v>
      </c>
      <c r="M181" s="4"/>
      <c r="N181" s="4"/>
      <c r="O181" s="4"/>
      <c r="P181" s="4"/>
      <c r="Q181" s="4"/>
      <c r="R181" s="4"/>
      <c r="S181" s="3">
        <f t="shared" si="5"/>
        <v>0</v>
      </c>
      <c r="T181" s="5"/>
    </row>
    <row r="182" spans="1:20" ht="28.5" x14ac:dyDescent="0.25">
      <c r="A182" s="3" t="s">
        <v>267</v>
      </c>
      <c r="B182" s="3" t="s">
        <v>258</v>
      </c>
      <c r="C182" s="3">
        <v>5</v>
      </c>
      <c r="D182" s="3">
        <v>8</v>
      </c>
      <c r="E182" s="2" t="s">
        <v>449</v>
      </c>
      <c r="F182" s="3">
        <v>3</v>
      </c>
      <c r="G182" s="4" t="s">
        <v>573</v>
      </c>
      <c r="H182" s="4"/>
      <c r="I182" s="4"/>
      <c r="J182" s="4">
        <v>1</v>
      </c>
      <c r="K182" s="4"/>
      <c r="L182" s="3">
        <f t="shared" si="4"/>
        <v>2</v>
      </c>
      <c r="M182" s="4"/>
      <c r="N182" s="4"/>
      <c r="O182" s="4"/>
      <c r="P182" s="4"/>
      <c r="Q182" s="4"/>
      <c r="R182" s="4"/>
      <c r="S182" s="3">
        <f t="shared" si="5"/>
        <v>0</v>
      </c>
      <c r="T182" s="5"/>
    </row>
    <row r="183" spans="1:20" x14ac:dyDescent="0.25">
      <c r="A183" s="3" t="s">
        <v>267</v>
      </c>
      <c r="B183" s="3" t="s">
        <v>258</v>
      </c>
      <c r="C183" s="3">
        <v>5</v>
      </c>
      <c r="D183" s="3">
        <v>9</v>
      </c>
      <c r="E183" s="2" t="s">
        <v>416</v>
      </c>
      <c r="F183" s="3">
        <v>4</v>
      </c>
      <c r="G183" s="4" t="s">
        <v>572</v>
      </c>
      <c r="H183" s="4"/>
      <c r="I183" s="4"/>
      <c r="J183" s="4"/>
      <c r="K183" s="4"/>
      <c r="L183" s="3">
        <f t="shared" si="4"/>
        <v>4</v>
      </c>
      <c r="M183" s="4"/>
      <c r="N183" s="4"/>
      <c r="O183" s="4"/>
      <c r="P183" s="4"/>
      <c r="Q183" s="4"/>
      <c r="R183" s="4"/>
      <c r="S183" s="3">
        <f t="shared" si="5"/>
        <v>0</v>
      </c>
      <c r="T183" s="5"/>
    </row>
    <row r="184" spans="1:20" ht="28.5" x14ac:dyDescent="0.25">
      <c r="A184" s="3" t="s">
        <v>267</v>
      </c>
      <c r="B184" s="3" t="s">
        <v>258</v>
      </c>
      <c r="C184" s="3">
        <v>5</v>
      </c>
      <c r="D184" s="3">
        <v>10</v>
      </c>
      <c r="E184" s="2" t="s">
        <v>450</v>
      </c>
      <c r="F184" s="3">
        <v>6</v>
      </c>
      <c r="G184" s="4" t="s">
        <v>573</v>
      </c>
      <c r="H184" s="4">
        <v>2</v>
      </c>
      <c r="I184" s="4"/>
      <c r="J184" s="4"/>
      <c r="K184" s="4"/>
      <c r="L184" s="3">
        <f t="shared" si="4"/>
        <v>4</v>
      </c>
      <c r="M184" s="4"/>
      <c r="N184" s="4"/>
      <c r="O184" s="4"/>
      <c r="P184" s="4"/>
      <c r="Q184" s="4"/>
      <c r="R184" s="4"/>
      <c r="S184" s="3">
        <f t="shared" si="5"/>
        <v>0</v>
      </c>
      <c r="T184" s="5"/>
    </row>
    <row r="185" spans="1:20" ht="28.5" x14ac:dyDescent="0.25">
      <c r="A185" s="3" t="s">
        <v>267</v>
      </c>
      <c r="B185" s="3" t="s">
        <v>258</v>
      </c>
      <c r="C185" s="3">
        <v>5</v>
      </c>
      <c r="D185" s="3">
        <v>11</v>
      </c>
      <c r="E185" s="2" t="s">
        <v>451</v>
      </c>
      <c r="F185" s="3">
        <v>8</v>
      </c>
      <c r="G185" s="4" t="s">
        <v>575</v>
      </c>
      <c r="H185" s="4">
        <v>1</v>
      </c>
      <c r="I185" s="4"/>
      <c r="J185" s="4"/>
      <c r="K185" s="4"/>
      <c r="L185" s="3">
        <f t="shared" si="4"/>
        <v>7</v>
      </c>
      <c r="M185" s="4"/>
      <c r="N185" s="4"/>
      <c r="O185" s="4"/>
      <c r="P185" s="4"/>
      <c r="Q185" s="4"/>
      <c r="R185" s="4"/>
      <c r="S185" s="3">
        <f t="shared" si="5"/>
        <v>0</v>
      </c>
      <c r="T185" s="5"/>
    </row>
    <row r="186" spans="1:20" ht="28.5" x14ac:dyDescent="0.25">
      <c r="A186" s="3" t="s">
        <v>267</v>
      </c>
      <c r="B186" s="3" t="s">
        <v>258</v>
      </c>
      <c r="C186" s="3">
        <v>5</v>
      </c>
      <c r="D186" s="3">
        <v>12</v>
      </c>
      <c r="E186" s="2" t="s">
        <v>452</v>
      </c>
      <c r="F186" s="3">
        <v>13</v>
      </c>
      <c r="G186" s="4" t="s">
        <v>573</v>
      </c>
      <c r="H186" s="4"/>
      <c r="I186" s="4"/>
      <c r="J186" s="4"/>
      <c r="K186" s="4">
        <v>1</v>
      </c>
      <c r="L186" s="3">
        <f t="shared" si="4"/>
        <v>12</v>
      </c>
      <c r="M186" s="4"/>
      <c r="N186" s="4">
        <v>1</v>
      </c>
      <c r="O186" s="4"/>
      <c r="P186" s="4"/>
      <c r="Q186" s="4"/>
      <c r="R186" s="4"/>
      <c r="S186" s="3">
        <f t="shared" si="5"/>
        <v>1</v>
      </c>
      <c r="T186" s="5"/>
    </row>
    <row r="187" spans="1:20" ht="42.75" x14ac:dyDescent="0.25">
      <c r="A187" s="3" t="s">
        <v>269</v>
      </c>
      <c r="B187" s="3" t="s">
        <v>270</v>
      </c>
      <c r="C187" s="3">
        <v>1</v>
      </c>
      <c r="D187" s="3">
        <v>1</v>
      </c>
      <c r="E187" s="2" t="s">
        <v>453</v>
      </c>
      <c r="F187" s="3">
        <v>12</v>
      </c>
      <c r="G187" s="4" t="s">
        <v>573</v>
      </c>
      <c r="H187" s="4">
        <v>4</v>
      </c>
      <c r="I187" s="4">
        <v>1</v>
      </c>
      <c r="J187" s="4"/>
      <c r="K187" s="4"/>
      <c r="L187" s="3">
        <f t="shared" si="4"/>
        <v>7</v>
      </c>
      <c r="M187" s="4"/>
      <c r="N187" s="4"/>
      <c r="O187" s="4"/>
      <c r="P187" s="4"/>
      <c r="Q187" s="4"/>
      <c r="R187" s="4"/>
      <c r="S187" s="3">
        <f t="shared" si="5"/>
        <v>0</v>
      </c>
      <c r="T187" s="5"/>
    </row>
    <row r="188" spans="1:20" ht="28.5" x14ac:dyDescent="0.25">
      <c r="A188" s="3" t="s">
        <v>269</v>
      </c>
      <c r="B188" s="3" t="s">
        <v>270</v>
      </c>
      <c r="C188" s="3">
        <v>1</v>
      </c>
      <c r="D188" s="3">
        <v>2</v>
      </c>
      <c r="E188" s="2" t="s">
        <v>454</v>
      </c>
      <c r="F188" s="3">
        <v>8</v>
      </c>
      <c r="G188" s="4" t="s">
        <v>573</v>
      </c>
      <c r="H188" s="4">
        <v>4</v>
      </c>
      <c r="I188" s="4"/>
      <c r="J188" s="4"/>
      <c r="K188" s="4"/>
      <c r="L188" s="3">
        <f t="shared" si="4"/>
        <v>4</v>
      </c>
      <c r="M188" s="4"/>
      <c r="N188" s="4"/>
      <c r="O188" s="4"/>
      <c r="P188" s="4"/>
      <c r="Q188" s="4"/>
      <c r="R188" s="4"/>
      <c r="S188" s="3">
        <f t="shared" si="5"/>
        <v>0</v>
      </c>
      <c r="T188" s="5"/>
    </row>
    <row r="189" spans="1:20" ht="42.75" x14ac:dyDescent="0.25">
      <c r="A189" s="3" t="s">
        <v>273</v>
      </c>
      <c r="B189" s="3" t="s">
        <v>270</v>
      </c>
      <c r="C189" s="3">
        <v>2</v>
      </c>
      <c r="D189" s="3">
        <v>1</v>
      </c>
      <c r="E189" s="2" t="s">
        <v>455</v>
      </c>
      <c r="F189" s="3">
        <v>13</v>
      </c>
      <c r="G189" s="4" t="s">
        <v>572</v>
      </c>
      <c r="H189" s="4"/>
      <c r="I189" s="4"/>
      <c r="J189" s="4"/>
      <c r="K189" s="4"/>
      <c r="L189" s="3">
        <f t="shared" si="4"/>
        <v>13</v>
      </c>
      <c r="M189" s="4"/>
      <c r="N189" s="4"/>
      <c r="O189" s="4"/>
      <c r="P189" s="4"/>
      <c r="Q189" s="4"/>
      <c r="R189" s="4"/>
      <c r="S189" s="3">
        <f t="shared" si="5"/>
        <v>0</v>
      </c>
      <c r="T189" s="5"/>
    </row>
    <row r="190" spans="1:20" ht="42.75" x14ac:dyDescent="0.25">
      <c r="A190" s="3" t="s">
        <v>273</v>
      </c>
      <c r="B190" s="3" t="s">
        <v>270</v>
      </c>
      <c r="C190" s="3">
        <v>2</v>
      </c>
      <c r="D190" s="3">
        <v>2</v>
      </c>
      <c r="E190" s="2" t="s">
        <v>456</v>
      </c>
      <c r="F190" s="3">
        <v>18</v>
      </c>
      <c r="G190" s="4" t="s">
        <v>573</v>
      </c>
      <c r="H190" s="4">
        <v>3</v>
      </c>
      <c r="I190" s="4"/>
      <c r="J190" s="4"/>
      <c r="K190" s="4"/>
      <c r="L190" s="3">
        <f t="shared" si="4"/>
        <v>15</v>
      </c>
      <c r="M190" s="4"/>
      <c r="N190" s="4"/>
      <c r="O190" s="4"/>
      <c r="P190" s="4"/>
      <c r="Q190" s="4"/>
      <c r="R190" s="4"/>
      <c r="S190" s="3">
        <f t="shared" si="5"/>
        <v>0</v>
      </c>
      <c r="T190" s="5"/>
    </row>
    <row r="191" spans="1:20" ht="42.75" x14ac:dyDescent="0.25">
      <c r="A191" s="3" t="s">
        <v>273</v>
      </c>
      <c r="B191" s="3" t="s">
        <v>270</v>
      </c>
      <c r="C191" s="3">
        <v>2</v>
      </c>
      <c r="D191" s="3">
        <v>3</v>
      </c>
      <c r="E191" s="2" t="s">
        <v>457</v>
      </c>
      <c r="F191" s="3">
        <v>14</v>
      </c>
      <c r="G191" s="4" t="s">
        <v>573</v>
      </c>
      <c r="H191" s="4">
        <v>3</v>
      </c>
      <c r="I191" s="4">
        <v>2</v>
      </c>
      <c r="J191" s="4">
        <v>2</v>
      </c>
      <c r="K191" s="4"/>
      <c r="L191" s="3">
        <f t="shared" si="4"/>
        <v>7</v>
      </c>
      <c r="M191" s="4"/>
      <c r="N191" s="4"/>
      <c r="O191" s="4"/>
      <c r="P191" s="4"/>
      <c r="Q191" s="4"/>
      <c r="R191" s="4"/>
      <c r="S191" s="3">
        <f t="shared" si="5"/>
        <v>0</v>
      </c>
      <c r="T191" s="5"/>
    </row>
    <row r="192" spans="1:20" ht="57" x14ac:dyDescent="0.25">
      <c r="A192" s="3" t="s">
        <v>273</v>
      </c>
      <c r="B192" s="3" t="s">
        <v>270</v>
      </c>
      <c r="C192" s="3">
        <v>2</v>
      </c>
      <c r="D192" s="3">
        <v>4</v>
      </c>
      <c r="E192" s="2" t="s">
        <v>458</v>
      </c>
      <c r="F192" s="3">
        <v>21</v>
      </c>
      <c r="G192" s="4" t="s">
        <v>573</v>
      </c>
      <c r="H192" s="4"/>
      <c r="I192" s="4">
        <v>2</v>
      </c>
      <c r="J192" s="4"/>
      <c r="K192" s="4"/>
      <c r="L192" s="3">
        <f t="shared" si="4"/>
        <v>19</v>
      </c>
      <c r="M192" s="4"/>
      <c r="N192" s="4"/>
      <c r="O192" s="4"/>
      <c r="P192" s="4"/>
      <c r="Q192" s="4"/>
      <c r="R192" s="4"/>
      <c r="S192" s="3">
        <f t="shared" si="5"/>
        <v>0</v>
      </c>
      <c r="T192" s="5"/>
    </row>
    <row r="193" spans="1:20" ht="42.75" x14ac:dyDescent="0.25">
      <c r="A193" s="3" t="s">
        <v>275</v>
      </c>
      <c r="B193" s="3" t="s">
        <v>270</v>
      </c>
      <c r="C193" s="3">
        <v>3</v>
      </c>
      <c r="D193" s="3">
        <v>1</v>
      </c>
      <c r="E193" s="2" t="inlineStr">
        <is>
          <t xml:space="preserve">Мы параграфитӏум ахэтыгъэ шъхьаIэр: Сшынахьыжъ инысащэ пае унагъор зэрэзэугъоигъэр ыкӏи ахэм насыпышӏо зэдэхъунхэу сафэлъэӏу.</t>
        </is>
      </c>
      <c r="F193" s="3">
        <v>14</v>
      </c>
      <c r="G193" s="4" t="s">
        <v>573</v>
      </c>
      <c r="H193" s="4">
        <v>4</v>
      </c>
      <c r="I193" s="4"/>
      <c r="J193" s="4"/>
      <c r="K193" s="4"/>
      <c r="L193" s="3">
        <f t="shared" si="4"/>
        <v>10</v>
      </c>
      <c r="M193" s="4"/>
      <c r="N193" s="4"/>
      <c r="O193" s="4"/>
      <c r="P193" s="4"/>
      <c r="Q193" s="4"/>
      <c r="R193" s="4"/>
      <c r="S193" s="3">
        <f t="shared" si="5"/>
        <v>0</v>
      </c>
      <c r="T193" s="5" t="inlineStr">
        <is>
          <t>Yazı sistemi karışıklığı.</t>
        </is>
      </c>
    </row>
    <row r="194" spans="1:20" ht="28.5" x14ac:dyDescent="0.25">
      <c r="A194" s="3" t="s">
        <v>275</v>
      </c>
      <c r="B194" s="3" t="s">
        <v>270</v>
      </c>
      <c r="C194" s="3">
        <v>3</v>
      </c>
      <c r="D194" s="3">
        <v>2</v>
      </c>
      <c r="E194" s="2" t="inlineStr">
        <is>
          <t xml:space="preserve">Тӏури зыIофэшӏэ гущыIэгъух, зы унагъом ихабзэрэ идэхагъэрэ къагъэлъагъо.</t>
        </is>
      </c>
      <c r="F194" s="3">
        <v>8</v>
      </c>
      <c r="G194" s="4" t="s">
        <v>573</v>
      </c>
      <c r="H194" s="4">
        <v>1</v>
      </c>
      <c r="I194" s="4"/>
      <c r="J194" s="4">
        <v>1</v>
      </c>
      <c r="K194" s="4"/>
      <c r="L194" s="3">
        <f t="shared" ref="L194:L257" si="6">F194-(H194+I194+J194+K194)</f>
        <v>6</v>
      </c>
      <c r="M194" s="4"/>
      <c r="N194" s="4"/>
      <c r="O194" s="4"/>
      <c r="P194" s="4"/>
      <c r="Q194" s="4"/>
      <c r="R194" s="4"/>
      <c r="S194" s="3">
        <f t="shared" ref="S194:S257" si="7">N194+O194+P194+Q194+R194</f>
        <v>0</v>
      </c>
      <c r="T194" s="5" t="inlineStr">
        <is>
          <t>Yazı sistemi karışıklığı.</t>
        </is>
      </c>
    </row>
    <row r="195" spans="1:20" ht="28.5" x14ac:dyDescent="0.25">
      <c r="A195" s="3" t="s">
        <v>275</v>
      </c>
      <c r="B195" s="3" t="s">
        <v>270</v>
      </c>
      <c r="C195" s="3">
        <v>3</v>
      </c>
      <c r="D195" s="3">
        <v>3</v>
      </c>
      <c r="E195" s="2" t="inlineStr">
        <is>
          <t xml:space="preserve">Нэмыкӏ зэдзэкӏын е Iофгорэ уиIэба?</t>
        </is>
      </c>
      <c r="F195" s="3">
        <v>5</v>
      </c>
      <c r="G195" s="4" t="s">
        <v>573</v>
      </c>
      <c r="H195" s="4">
        <v>1</v>
      </c>
      <c r="I195" s="4"/>
      <c r="J195" s="4"/>
      <c r="K195" s="4"/>
      <c r="L195" s="3">
        <f t="shared" si="6"/>
        <v>4</v>
      </c>
      <c r="M195" s="4"/>
      <c r="N195" s="4"/>
      <c r="O195" s="4"/>
      <c r="P195" s="4"/>
      <c r="Q195" s="4"/>
      <c r="R195" s="4"/>
      <c r="S195" s="3">
        <f t="shared" si="7"/>
        <v>0</v>
      </c>
      <c r="T195" s="5" t="inlineStr">
        <is>
          <t>Yazı sistemi karışıklığı.</t>
        </is>
      </c>
    </row>
    <row r="196" spans="1:20" ht="57" x14ac:dyDescent="0.25">
      <c r="A196" s="3" t="s">
        <v>277</v>
      </c>
      <c r="B196" s="3" t="s">
        <v>270</v>
      </c>
      <c r="C196" s="3">
        <v>4</v>
      </c>
      <c r="D196" s="3">
        <v>1</v>
      </c>
      <c r="E196" s="2" t="s">
        <v>462</v>
      </c>
      <c r="F196" s="3">
        <v>19</v>
      </c>
      <c r="G196" s="4" t="s">
        <v>573</v>
      </c>
      <c r="H196" s="4">
        <v>5</v>
      </c>
      <c r="I196" s="4"/>
      <c r="J196" s="4"/>
      <c r="K196" s="4">
        <v>1</v>
      </c>
      <c r="L196" s="3">
        <f t="shared" si="6"/>
        <v>13</v>
      </c>
      <c r="M196" s="4"/>
      <c r="N196" s="4">
        <v>1</v>
      </c>
      <c r="O196" s="4"/>
      <c r="P196" s="4"/>
      <c r="Q196" s="4"/>
      <c r="R196" s="4"/>
      <c r="S196" s="3">
        <f t="shared" si="7"/>
        <v>1</v>
      </c>
      <c r="T196" s="5"/>
    </row>
    <row r="197" spans="1:20" ht="42.75" x14ac:dyDescent="0.25">
      <c r="A197" s="3" t="s">
        <v>277</v>
      </c>
      <c r="B197" s="3" t="s">
        <v>270</v>
      </c>
      <c r="C197" s="3">
        <v>4</v>
      </c>
      <c r="D197" s="3">
        <v>2</v>
      </c>
      <c r="E197" s="2" t="s">
        <v>463</v>
      </c>
      <c r="F197" s="3">
        <v>18</v>
      </c>
      <c r="G197" s="4" t="s">
        <v>573</v>
      </c>
      <c r="H197" s="4">
        <v>4</v>
      </c>
      <c r="I197" s="4"/>
      <c r="J197" s="4"/>
      <c r="K197" s="4"/>
      <c r="L197" s="3">
        <f t="shared" si="6"/>
        <v>14</v>
      </c>
      <c r="M197" s="4"/>
      <c r="N197" s="4"/>
      <c r="O197" s="4"/>
      <c r="P197" s="4"/>
      <c r="Q197" s="4"/>
      <c r="R197" s="4"/>
      <c r="S197" s="3">
        <f t="shared" si="7"/>
        <v>0</v>
      </c>
      <c r="T197" s="5"/>
    </row>
    <row r="198" spans="1:20" ht="28.5" x14ac:dyDescent="0.25">
      <c r="A198" s="3" t="s">
        <v>279</v>
      </c>
      <c r="B198" s="3" t="s">
        <v>270</v>
      </c>
      <c r="C198" s="3">
        <v>5</v>
      </c>
      <c r="D198" s="3">
        <v>1</v>
      </c>
      <c r="E198" s="2" t="s">
        <v>280</v>
      </c>
      <c r="F198" s="3">
        <v>2</v>
      </c>
      <c r="G198" s="4" t="s">
        <v>573</v>
      </c>
      <c r="H198" s="4">
        <v>2</v>
      </c>
      <c r="I198" s="4"/>
      <c r="J198" s="4"/>
      <c r="K198" s="4"/>
      <c r="L198" s="3">
        <f t="shared" si="6"/>
        <v>0</v>
      </c>
      <c r="M198" s="4"/>
      <c r="N198" s="4"/>
      <c r="O198" s="4"/>
      <c r="P198" s="4"/>
      <c r="Q198" s="4"/>
      <c r="R198" s="4"/>
      <c r="S198" s="3">
        <f t="shared" si="7"/>
        <v>0</v>
      </c>
      <c r="T198" s="5"/>
    </row>
    <row r="199" spans="1:20" x14ac:dyDescent="0.25">
      <c r="A199" s="3" t="s">
        <v>281</v>
      </c>
      <c r="B199" s="3" t="s">
        <v>282</v>
      </c>
      <c r="C199" s="3">
        <v>1</v>
      </c>
      <c r="D199" s="3">
        <v>1</v>
      </c>
      <c r="E199" s="2" t="s">
        <v>464</v>
      </c>
      <c r="F199" s="3">
        <v>2</v>
      </c>
      <c r="G199" s="4" t="s">
        <v>572</v>
      </c>
      <c r="H199" s="4"/>
      <c r="I199" s="4"/>
      <c r="J199" s="4"/>
      <c r="K199" s="4"/>
      <c r="L199" s="3">
        <f t="shared" si="6"/>
        <v>2</v>
      </c>
      <c r="M199" s="4"/>
      <c r="N199" s="4"/>
      <c r="O199" s="4"/>
      <c r="P199" s="4"/>
      <c r="Q199" s="4"/>
      <c r="R199" s="4"/>
      <c r="S199" s="3">
        <f t="shared" si="7"/>
        <v>0</v>
      </c>
      <c r="T199" s="5"/>
    </row>
    <row r="200" spans="1:20" ht="57" x14ac:dyDescent="0.25">
      <c r="A200" s="3" t="s">
        <v>281</v>
      </c>
      <c r="B200" s="3" t="s">
        <v>282</v>
      </c>
      <c r="C200" s="3">
        <v>1</v>
      </c>
      <c r="D200" s="3">
        <v>2</v>
      </c>
      <c r="E200" s="2" t="s">
        <v>465</v>
      </c>
      <c r="F200" s="3">
        <v>23</v>
      </c>
      <c r="G200" s="4" t="s">
        <v>575</v>
      </c>
      <c r="H200" s="4">
        <v>4</v>
      </c>
      <c r="I200" s="4"/>
      <c r="J200" s="4"/>
      <c r="K200" s="4"/>
      <c r="L200" s="3">
        <f t="shared" si="6"/>
        <v>19</v>
      </c>
      <c r="M200" s="4"/>
      <c r="N200" s="4"/>
      <c r="O200" s="4"/>
      <c r="P200" s="4"/>
      <c r="Q200" s="4"/>
      <c r="R200" s="4"/>
      <c r="S200" s="3">
        <f t="shared" si="7"/>
        <v>0</v>
      </c>
      <c r="T200" s="5"/>
    </row>
    <row r="201" spans="1:20" x14ac:dyDescent="0.25">
      <c r="A201" s="3" t="s">
        <v>285</v>
      </c>
      <c r="B201" s="3" t="s">
        <v>282</v>
      </c>
      <c r="C201" s="3">
        <v>2</v>
      </c>
      <c r="D201" s="3">
        <v>1</v>
      </c>
      <c r="E201" s="2" t="s">
        <v>466</v>
      </c>
      <c r="F201" s="3">
        <v>2</v>
      </c>
      <c r="G201" s="4" t="s">
        <v>572</v>
      </c>
      <c r="H201" s="4"/>
      <c r="I201" s="4"/>
      <c r="J201" s="4"/>
      <c r="K201" s="4"/>
      <c r="L201" s="3">
        <f t="shared" si="6"/>
        <v>2</v>
      </c>
      <c r="M201" s="4"/>
      <c r="N201" s="4"/>
      <c r="O201" s="4"/>
      <c r="P201" s="4"/>
      <c r="Q201" s="4"/>
      <c r="R201" s="4"/>
      <c r="S201" s="3">
        <f t="shared" si="7"/>
        <v>0</v>
      </c>
      <c r="T201" s="5"/>
    </row>
    <row r="202" spans="1:20" x14ac:dyDescent="0.25">
      <c r="A202" s="3" t="s">
        <v>285</v>
      </c>
      <c r="B202" s="3" t="s">
        <v>282</v>
      </c>
      <c r="C202" s="3">
        <v>2</v>
      </c>
      <c r="D202" s="3">
        <v>2</v>
      </c>
      <c r="E202" s="2" t="s">
        <v>467</v>
      </c>
      <c r="F202" s="3">
        <v>6</v>
      </c>
      <c r="G202" s="4" t="s">
        <v>572</v>
      </c>
      <c r="H202" s="4"/>
      <c r="I202" s="4"/>
      <c r="J202" s="4"/>
      <c r="K202" s="4"/>
      <c r="L202" s="3">
        <f t="shared" si="6"/>
        <v>6</v>
      </c>
      <c r="M202" s="4"/>
      <c r="N202" s="4"/>
      <c r="O202" s="4"/>
      <c r="P202" s="4"/>
      <c r="Q202" s="4"/>
      <c r="R202" s="4"/>
      <c r="S202" s="3">
        <f t="shared" si="7"/>
        <v>0</v>
      </c>
      <c r="T202" s="5"/>
    </row>
    <row r="203" spans="1:20" ht="28.5" x14ac:dyDescent="0.25">
      <c r="A203" s="3" t="s">
        <v>285</v>
      </c>
      <c r="B203" s="3" t="s">
        <v>282</v>
      </c>
      <c r="C203" s="3">
        <v>2</v>
      </c>
      <c r="D203" s="3">
        <v>3</v>
      </c>
      <c r="E203" s="2" t="s">
        <v>468</v>
      </c>
      <c r="F203" s="3">
        <v>3</v>
      </c>
      <c r="G203" s="4" t="s">
        <v>573</v>
      </c>
      <c r="H203" s="4">
        <v>1</v>
      </c>
      <c r="I203" s="4"/>
      <c r="J203" s="4"/>
      <c r="K203" s="4"/>
      <c r="L203" s="3">
        <f t="shared" si="6"/>
        <v>2</v>
      </c>
      <c r="M203" s="4"/>
      <c r="N203" s="4"/>
      <c r="O203" s="4"/>
      <c r="P203" s="4"/>
      <c r="Q203" s="4"/>
      <c r="R203" s="4"/>
      <c r="S203" s="3">
        <f t="shared" si="7"/>
        <v>0</v>
      </c>
      <c r="T203" s="5"/>
    </row>
    <row r="204" spans="1:20" ht="42.75" x14ac:dyDescent="0.25">
      <c r="A204" s="3" t="s">
        <v>285</v>
      </c>
      <c r="B204" s="3" t="s">
        <v>282</v>
      </c>
      <c r="C204" s="3">
        <v>2</v>
      </c>
      <c r="D204" s="3">
        <v>4</v>
      </c>
      <c r="E204" s="2" t="s">
        <v>469</v>
      </c>
      <c r="F204" s="3">
        <v>11</v>
      </c>
      <c r="G204" s="4" t="s">
        <v>573</v>
      </c>
      <c r="H204" s="4">
        <v>1</v>
      </c>
      <c r="I204" s="4"/>
      <c r="J204" s="4"/>
      <c r="K204" s="4"/>
      <c r="L204" s="3">
        <f t="shared" si="6"/>
        <v>10</v>
      </c>
      <c r="M204" s="4"/>
      <c r="N204" s="4"/>
      <c r="O204" s="4"/>
      <c r="P204" s="4"/>
      <c r="Q204" s="4"/>
      <c r="R204" s="4"/>
      <c r="S204" s="3">
        <f t="shared" si="7"/>
        <v>0</v>
      </c>
      <c r="T204" s="5"/>
    </row>
    <row r="205" spans="1:20" ht="28.5" x14ac:dyDescent="0.25">
      <c r="A205" s="3" t="s">
        <v>285</v>
      </c>
      <c r="B205" s="3" t="s">
        <v>282</v>
      </c>
      <c r="C205" s="3">
        <v>2</v>
      </c>
      <c r="D205" s="3">
        <v>5</v>
      </c>
      <c r="E205" s="2" t="s">
        <v>470</v>
      </c>
      <c r="F205" s="3">
        <v>3</v>
      </c>
      <c r="G205" s="4" t="s">
        <v>573</v>
      </c>
      <c r="H205" s="4">
        <v>2</v>
      </c>
      <c r="I205" s="4"/>
      <c r="J205" s="4"/>
      <c r="K205" s="4"/>
      <c r="L205" s="3">
        <f t="shared" si="6"/>
        <v>1</v>
      </c>
      <c r="M205" s="4"/>
      <c r="N205" s="4"/>
      <c r="O205" s="4"/>
      <c r="P205" s="4"/>
      <c r="Q205" s="4"/>
      <c r="R205" s="4"/>
      <c r="S205" s="3">
        <f t="shared" si="7"/>
        <v>0</v>
      </c>
      <c r="T205" s="5"/>
    </row>
    <row r="206" spans="1:20" x14ac:dyDescent="0.25">
      <c r="A206" s="3" t="s">
        <v>285</v>
      </c>
      <c r="B206" s="3" t="s">
        <v>282</v>
      </c>
      <c r="C206" s="3">
        <v>2</v>
      </c>
      <c r="D206" s="3">
        <v>6</v>
      </c>
      <c r="E206" s="2" t="s">
        <v>471</v>
      </c>
      <c r="F206" s="3">
        <v>2</v>
      </c>
      <c r="G206" s="4" t="s">
        <v>572</v>
      </c>
      <c r="H206" s="4"/>
      <c r="I206" s="4"/>
      <c r="J206" s="4"/>
      <c r="K206" s="4"/>
      <c r="L206" s="3">
        <f t="shared" si="6"/>
        <v>2</v>
      </c>
      <c r="M206" s="4"/>
      <c r="N206" s="4"/>
      <c r="O206" s="4"/>
      <c r="P206" s="4"/>
      <c r="Q206" s="4"/>
      <c r="R206" s="4"/>
      <c r="S206" s="3">
        <f t="shared" si="7"/>
        <v>0</v>
      </c>
      <c r="T206" s="5"/>
    </row>
    <row r="207" spans="1:20" x14ac:dyDescent="0.25">
      <c r="A207" s="3" t="s">
        <v>285</v>
      </c>
      <c r="B207" s="3" t="s">
        <v>282</v>
      </c>
      <c r="C207" s="3">
        <v>2</v>
      </c>
      <c r="D207" s="3">
        <v>7</v>
      </c>
      <c r="E207" s="2" t="s">
        <v>472</v>
      </c>
      <c r="F207" s="3">
        <v>2</v>
      </c>
      <c r="G207" s="4" t="s">
        <v>572</v>
      </c>
      <c r="H207" s="4"/>
      <c r="I207" s="4"/>
      <c r="J207" s="4"/>
      <c r="K207" s="4"/>
      <c r="L207" s="3">
        <f t="shared" si="6"/>
        <v>2</v>
      </c>
      <c r="M207" s="4"/>
      <c r="N207" s="4"/>
      <c r="O207" s="4"/>
      <c r="P207" s="4"/>
      <c r="Q207" s="4"/>
      <c r="R207" s="4"/>
      <c r="S207" s="3">
        <f t="shared" si="7"/>
        <v>0</v>
      </c>
      <c r="T207" s="5"/>
    </row>
    <row r="208" spans="1:20" x14ac:dyDescent="0.25">
      <c r="A208" s="3" t="s">
        <v>285</v>
      </c>
      <c r="B208" s="3" t="s">
        <v>282</v>
      </c>
      <c r="C208" s="3">
        <v>2</v>
      </c>
      <c r="D208" s="3">
        <v>8</v>
      </c>
      <c r="E208" s="2" t="s">
        <v>473</v>
      </c>
      <c r="F208" s="3">
        <v>5</v>
      </c>
      <c r="G208" s="4" t="s">
        <v>572</v>
      </c>
      <c r="H208" s="4"/>
      <c r="I208" s="4"/>
      <c r="J208" s="4"/>
      <c r="K208" s="4"/>
      <c r="L208" s="3">
        <f t="shared" si="6"/>
        <v>5</v>
      </c>
      <c r="M208" s="4"/>
      <c r="N208" s="4"/>
      <c r="O208" s="4"/>
      <c r="P208" s="4"/>
      <c r="Q208" s="4"/>
      <c r="R208" s="4"/>
      <c r="S208" s="3">
        <f t="shared" si="7"/>
        <v>0</v>
      </c>
      <c r="T208" s="5"/>
    </row>
    <row r="209" spans="1:20" x14ac:dyDescent="0.25">
      <c r="A209" s="3" t="s">
        <v>285</v>
      </c>
      <c r="B209" s="3" t="s">
        <v>282</v>
      </c>
      <c r="C209" s="3">
        <v>2</v>
      </c>
      <c r="D209" s="3">
        <v>9</v>
      </c>
      <c r="E209" s="2" t="s">
        <v>474</v>
      </c>
      <c r="F209" s="3">
        <v>5</v>
      </c>
      <c r="G209" s="4" t="s">
        <v>572</v>
      </c>
      <c r="H209" s="4"/>
      <c r="I209" s="4"/>
      <c r="J209" s="4"/>
      <c r="K209" s="4"/>
      <c r="L209" s="3">
        <f t="shared" si="6"/>
        <v>5</v>
      </c>
      <c r="M209" s="4"/>
      <c r="N209" s="4"/>
      <c r="O209" s="4"/>
      <c r="P209" s="4"/>
      <c r="Q209" s="4"/>
      <c r="R209" s="4"/>
      <c r="S209" s="3">
        <f t="shared" si="7"/>
        <v>0</v>
      </c>
      <c r="T209" s="5"/>
    </row>
    <row r="210" spans="1:20" x14ac:dyDescent="0.25">
      <c r="A210" s="3" t="s">
        <v>285</v>
      </c>
      <c r="B210" s="3" t="s">
        <v>282</v>
      </c>
      <c r="C210" s="3">
        <v>2</v>
      </c>
      <c r="D210" s="3">
        <v>10</v>
      </c>
      <c r="E210" s="2" t="s">
        <v>475</v>
      </c>
      <c r="F210" s="3">
        <v>3</v>
      </c>
      <c r="G210" s="4" t="s">
        <v>572</v>
      </c>
      <c r="H210" s="4"/>
      <c r="I210" s="4"/>
      <c r="J210" s="4"/>
      <c r="K210" s="4"/>
      <c r="L210" s="3">
        <f t="shared" si="6"/>
        <v>3</v>
      </c>
      <c r="M210" s="4"/>
      <c r="N210" s="4"/>
      <c r="O210" s="4"/>
      <c r="P210" s="4"/>
      <c r="Q210" s="4"/>
      <c r="R210" s="4"/>
      <c r="S210" s="3">
        <f t="shared" si="7"/>
        <v>0</v>
      </c>
      <c r="T210" s="5"/>
    </row>
    <row r="211" spans="1:20" ht="28.5" x14ac:dyDescent="0.25">
      <c r="A211" s="3" t="s">
        <v>285</v>
      </c>
      <c r="B211" s="3" t="s">
        <v>282</v>
      </c>
      <c r="C211" s="3">
        <v>2</v>
      </c>
      <c r="D211" s="3">
        <v>11</v>
      </c>
      <c r="E211" s="2" t="s">
        <v>476</v>
      </c>
      <c r="F211" s="3">
        <v>2</v>
      </c>
      <c r="G211" s="4" t="s">
        <v>573</v>
      </c>
      <c r="H211" s="4">
        <v>1</v>
      </c>
      <c r="I211" s="4"/>
      <c r="J211" s="4"/>
      <c r="K211" s="4"/>
      <c r="L211" s="3">
        <f t="shared" si="6"/>
        <v>1</v>
      </c>
      <c r="M211" s="4"/>
      <c r="N211" s="4"/>
      <c r="O211" s="4"/>
      <c r="P211" s="4"/>
      <c r="Q211" s="4"/>
      <c r="R211" s="4"/>
      <c r="S211" s="3">
        <f t="shared" si="7"/>
        <v>0</v>
      </c>
      <c r="T211" s="5"/>
    </row>
    <row r="212" spans="1:20" ht="28.5" x14ac:dyDescent="0.25">
      <c r="A212" s="3" t="s">
        <v>285</v>
      </c>
      <c r="B212" s="3" t="s">
        <v>282</v>
      </c>
      <c r="C212" s="3">
        <v>2</v>
      </c>
      <c r="D212" s="3">
        <v>12</v>
      </c>
      <c r="E212" s="2" t="s">
        <v>477</v>
      </c>
      <c r="F212" s="3">
        <v>7</v>
      </c>
      <c r="G212" s="4" t="s">
        <v>573</v>
      </c>
      <c r="H212" s="4">
        <v>1</v>
      </c>
      <c r="I212" s="4"/>
      <c r="J212" s="4">
        <v>1</v>
      </c>
      <c r="K212" s="4"/>
      <c r="L212" s="3">
        <f t="shared" si="6"/>
        <v>5</v>
      </c>
      <c r="M212" s="4"/>
      <c r="N212" s="4"/>
      <c r="O212" s="4"/>
      <c r="P212" s="4"/>
      <c r="Q212" s="4"/>
      <c r="R212" s="4"/>
      <c r="S212" s="3">
        <f t="shared" si="7"/>
        <v>0</v>
      </c>
      <c r="T212" s="5"/>
    </row>
    <row r="213" spans="1:20" ht="28.5" x14ac:dyDescent="0.25">
      <c r="A213" s="3" t="s">
        <v>285</v>
      </c>
      <c r="B213" s="3" t="s">
        <v>282</v>
      </c>
      <c r="C213" s="3">
        <v>2</v>
      </c>
      <c r="D213" s="3">
        <v>13</v>
      </c>
      <c r="E213" s="2" t="s">
        <v>478</v>
      </c>
      <c r="F213" s="3">
        <v>7</v>
      </c>
      <c r="G213" s="4" t="s">
        <v>573</v>
      </c>
      <c r="H213" s="4">
        <v>2</v>
      </c>
      <c r="I213" s="4"/>
      <c r="J213" s="4"/>
      <c r="K213" s="4"/>
      <c r="L213" s="3">
        <f t="shared" si="6"/>
        <v>5</v>
      </c>
      <c r="M213" s="4"/>
      <c r="N213" s="4"/>
      <c r="O213" s="4"/>
      <c r="P213" s="4"/>
      <c r="Q213" s="4"/>
      <c r="R213" s="4"/>
      <c r="S213" s="3">
        <f t="shared" si="7"/>
        <v>0</v>
      </c>
      <c r="T213" s="5"/>
    </row>
    <row r="214" spans="1:20" ht="28.5" x14ac:dyDescent="0.25">
      <c r="A214" s="3" t="s">
        <v>285</v>
      </c>
      <c r="B214" s="3" t="s">
        <v>282</v>
      </c>
      <c r="C214" s="3">
        <v>2</v>
      </c>
      <c r="D214" s="3">
        <v>14</v>
      </c>
      <c r="E214" s="2" t="s">
        <v>479</v>
      </c>
      <c r="F214" s="3">
        <v>6</v>
      </c>
      <c r="G214" s="4" t="s">
        <v>573</v>
      </c>
      <c r="H214" s="4">
        <v>1</v>
      </c>
      <c r="I214" s="4"/>
      <c r="J214" s="4"/>
      <c r="K214" s="4"/>
      <c r="L214" s="3">
        <f t="shared" si="6"/>
        <v>5</v>
      </c>
      <c r="M214" s="4"/>
      <c r="N214" s="4"/>
      <c r="O214" s="4"/>
      <c r="P214" s="4"/>
      <c r="Q214" s="4"/>
      <c r="R214" s="4"/>
      <c r="S214" s="3">
        <f t="shared" si="7"/>
        <v>0</v>
      </c>
      <c r="T214" s="5"/>
    </row>
    <row r="215" spans="1:20" ht="28.5" x14ac:dyDescent="0.25">
      <c r="A215" s="3" t="s">
        <v>285</v>
      </c>
      <c r="B215" s="3" t="s">
        <v>282</v>
      </c>
      <c r="C215" s="3">
        <v>2</v>
      </c>
      <c r="D215" s="3">
        <v>15</v>
      </c>
      <c r="E215" s="2" t="s">
        <v>480</v>
      </c>
      <c r="F215" s="3">
        <v>2</v>
      </c>
      <c r="G215" s="4" t="s">
        <v>573</v>
      </c>
      <c r="H215" s="4">
        <v>1</v>
      </c>
      <c r="I215" s="4"/>
      <c r="J215" s="4"/>
      <c r="K215" s="4"/>
      <c r="L215" s="3">
        <f t="shared" si="6"/>
        <v>1</v>
      </c>
      <c r="M215" s="4"/>
      <c r="N215" s="4"/>
      <c r="O215" s="4"/>
      <c r="P215" s="4"/>
      <c r="Q215" s="4"/>
      <c r="R215" s="4"/>
      <c r="S215" s="3">
        <f t="shared" si="7"/>
        <v>0</v>
      </c>
      <c r="T215" s="5"/>
    </row>
    <row r="216" spans="1:20" ht="28.5" x14ac:dyDescent="0.25">
      <c r="A216" s="3" t="s">
        <v>285</v>
      </c>
      <c r="B216" s="3" t="s">
        <v>282</v>
      </c>
      <c r="C216" s="3">
        <v>2</v>
      </c>
      <c r="D216" s="3">
        <v>16</v>
      </c>
      <c r="E216" s="2" t="s">
        <v>481</v>
      </c>
      <c r="F216" s="3">
        <v>9</v>
      </c>
      <c r="G216" s="4" t="s">
        <v>573</v>
      </c>
      <c r="H216" s="4">
        <v>1</v>
      </c>
      <c r="I216" s="4"/>
      <c r="J216" s="4"/>
      <c r="K216" s="4"/>
      <c r="L216" s="3">
        <f t="shared" si="6"/>
        <v>8</v>
      </c>
      <c r="M216" s="4"/>
      <c r="N216" s="4"/>
      <c r="O216" s="4"/>
      <c r="P216" s="4"/>
      <c r="Q216" s="4"/>
      <c r="R216" s="4"/>
      <c r="S216" s="3">
        <f t="shared" si="7"/>
        <v>0</v>
      </c>
      <c r="T216" s="5"/>
    </row>
    <row r="217" spans="1:20" ht="42.75" x14ac:dyDescent="0.25">
      <c r="A217" s="3" t="s">
        <v>285</v>
      </c>
      <c r="B217" s="3" t="s">
        <v>282</v>
      </c>
      <c r="C217" s="3">
        <v>2</v>
      </c>
      <c r="D217" s="3">
        <v>17</v>
      </c>
      <c r="E217" s="2" t="s">
        <v>482</v>
      </c>
      <c r="F217" s="3">
        <v>15</v>
      </c>
      <c r="G217" s="4" t="s">
        <v>573</v>
      </c>
      <c r="H217" s="4">
        <v>2</v>
      </c>
      <c r="I217" s="4"/>
      <c r="J217" s="4"/>
      <c r="K217" s="4"/>
      <c r="L217" s="3">
        <f t="shared" si="6"/>
        <v>13</v>
      </c>
      <c r="M217" s="4"/>
      <c r="N217" s="4"/>
      <c r="O217" s="4"/>
      <c r="P217" s="4"/>
      <c r="Q217" s="4"/>
      <c r="R217" s="4"/>
      <c r="S217" s="3">
        <f t="shared" si="7"/>
        <v>0</v>
      </c>
      <c r="T217" s="5"/>
    </row>
    <row r="218" spans="1:20" ht="42.75" x14ac:dyDescent="0.25">
      <c r="A218" s="3" t="s">
        <v>285</v>
      </c>
      <c r="B218" s="3" t="s">
        <v>282</v>
      </c>
      <c r="C218" s="3">
        <v>2</v>
      </c>
      <c r="D218" s="3">
        <v>18</v>
      </c>
      <c r="E218" s="2" t="s">
        <v>483</v>
      </c>
      <c r="F218" s="3">
        <v>14</v>
      </c>
      <c r="G218" s="4" t="s">
        <v>573</v>
      </c>
      <c r="H218" s="4">
        <v>2</v>
      </c>
      <c r="I218" s="4">
        <v>2</v>
      </c>
      <c r="J218" s="4">
        <v>1</v>
      </c>
      <c r="K218" s="4"/>
      <c r="L218" s="3">
        <f t="shared" si="6"/>
        <v>9</v>
      </c>
      <c r="M218" s="4"/>
      <c r="N218" s="4"/>
      <c r="O218" s="4"/>
      <c r="P218" s="4"/>
      <c r="Q218" s="4"/>
      <c r="R218" s="4"/>
      <c r="S218" s="3">
        <f t="shared" si="7"/>
        <v>0</v>
      </c>
      <c r="T218" s="5" t="s">
        <v>578</v>
      </c>
    </row>
    <row r="219" spans="1:20" ht="28.5" x14ac:dyDescent="0.25">
      <c r="A219" s="3" t="s">
        <v>285</v>
      </c>
      <c r="B219" s="3" t="s">
        <v>282</v>
      </c>
      <c r="C219" s="3">
        <v>2</v>
      </c>
      <c r="D219" s="3">
        <v>19</v>
      </c>
      <c r="E219" s="2" t="s">
        <v>484</v>
      </c>
      <c r="F219" s="3">
        <v>5</v>
      </c>
      <c r="G219" s="4" t="s">
        <v>573</v>
      </c>
      <c r="H219" s="4">
        <v>1</v>
      </c>
      <c r="I219" s="4">
        <v>1</v>
      </c>
      <c r="J219" s="4"/>
      <c r="K219" s="4"/>
      <c r="L219" s="3">
        <f t="shared" si="6"/>
        <v>3</v>
      </c>
      <c r="M219" s="4"/>
      <c r="N219" s="4"/>
      <c r="O219" s="4"/>
      <c r="P219" s="4"/>
      <c r="Q219" s="4"/>
      <c r="R219" s="4"/>
      <c r="S219" s="3">
        <f t="shared" si="7"/>
        <v>0</v>
      </c>
      <c r="T219" s="5"/>
    </row>
    <row r="220" spans="1:20" ht="42.75" x14ac:dyDescent="0.25">
      <c r="A220" s="3" t="s">
        <v>285</v>
      </c>
      <c r="B220" s="3" t="s">
        <v>282</v>
      </c>
      <c r="C220" s="3">
        <v>2</v>
      </c>
      <c r="D220" s="3">
        <v>20</v>
      </c>
      <c r="E220" s="2" t="s">
        <v>485</v>
      </c>
      <c r="F220" s="3">
        <v>12</v>
      </c>
      <c r="G220" s="4" t="s">
        <v>573</v>
      </c>
      <c r="H220" s="4">
        <v>1</v>
      </c>
      <c r="I220" s="4">
        <v>3</v>
      </c>
      <c r="J220" s="4"/>
      <c r="K220" s="4"/>
      <c r="L220" s="3">
        <f t="shared" si="6"/>
        <v>8</v>
      </c>
      <c r="M220" s="4"/>
      <c r="N220" s="4"/>
      <c r="O220" s="4"/>
      <c r="P220" s="4"/>
      <c r="Q220" s="4"/>
      <c r="R220" s="4"/>
      <c r="S220" s="3">
        <f t="shared" si="7"/>
        <v>0</v>
      </c>
      <c r="T220" s="5"/>
    </row>
    <row r="221" spans="1:20" ht="28.5" x14ac:dyDescent="0.25">
      <c r="A221" s="3" t="s">
        <v>287</v>
      </c>
      <c r="B221" s="3" t="s">
        <v>282</v>
      </c>
      <c r="C221" s="3">
        <v>3</v>
      </c>
      <c r="D221" s="3">
        <v>1</v>
      </c>
      <c r="E221" s="2" t="inlineStr">
        <is>
          <t xml:space="preserve">Ары, мы параграфитӏум зэфэшъхьафыныгъэхэр яIэшъыпкъ.</t>
        </is>
      </c>
      <c r="F221" s="3">
        <v>5</v>
      </c>
      <c r="G221" s="4" t="s">
        <v>573</v>
      </c>
      <c r="H221" s="4">
        <v>1</v>
      </c>
      <c r="I221" s="4"/>
      <c r="J221" s="4"/>
      <c r="K221" s="4"/>
      <c r="L221" s="3">
        <f t="shared" si="6"/>
        <v>4</v>
      </c>
      <c r="M221" s="4"/>
      <c r="N221" s="4"/>
      <c r="O221" s="4"/>
      <c r="P221" s="4"/>
      <c r="Q221" s="4"/>
      <c r="R221" s="4"/>
      <c r="S221" s="3">
        <f t="shared" si="7"/>
        <v>0</v>
      </c>
      <c r="T221" s="5" t="inlineStr">
        <is>
          <t>Yazı sistemi karışıklığı.</t>
        </is>
      </c>
    </row>
    <row r="222" spans="1:20" x14ac:dyDescent="0.25">
      <c r="A222" s="3" t="s">
        <v>287</v>
      </c>
      <c r="B222" s="3" t="s">
        <v>282</v>
      </c>
      <c r="C222" s="3">
        <v>3</v>
      </c>
      <c r="D222" s="3">
        <v>2</v>
      </c>
      <c r="E222" s="2" t="s">
        <v>487</v>
      </c>
      <c r="F222" s="3">
        <v>5</v>
      </c>
      <c r="G222" s="4" t="s">
        <v>572</v>
      </c>
      <c r="H222" s="4"/>
      <c r="I222" s="4"/>
      <c r="J222" s="4"/>
      <c r="K222" s="4"/>
      <c r="L222" s="3">
        <f t="shared" si="6"/>
        <v>5</v>
      </c>
      <c r="M222" s="4"/>
      <c r="N222" s="4"/>
      <c r="O222" s="4"/>
      <c r="P222" s="4"/>
      <c r="Q222" s="4"/>
      <c r="R222" s="4"/>
      <c r="S222" s="3">
        <f t="shared" si="7"/>
        <v>0</v>
      </c>
      <c r="T222" s="5"/>
    </row>
    <row r="223" spans="1:20" ht="28.5" x14ac:dyDescent="0.25">
      <c r="A223" s="3" t="s">
        <v>287</v>
      </c>
      <c r="B223" s="3" t="s">
        <v>282</v>
      </c>
      <c r="C223" s="3">
        <v>3</v>
      </c>
      <c r="D223" s="3">
        <v>3</v>
      </c>
      <c r="E223" s="2" t="s">
        <v>488</v>
      </c>
      <c r="F223" s="3">
        <v>6</v>
      </c>
      <c r="G223" s="4" t="s">
        <v>573</v>
      </c>
      <c r="H223" s="4"/>
      <c r="I223" s="4">
        <v>2</v>
      </c>
      <c r="J223" s="4"/>
      <c r="K223" s="4"/>
      <c r="L223" s="3">
        <f t="shared" si="6"/>
        <v>4</v>
      </c>
      <c r="M223" s="4"/>
      <c r="N223" s="4"/>
      <c r="O223" s="4"/>
      <c r="P223" s="4"/>
      <c r="Q223" s="4"/>
      <c r="R223" s="4"/>
      <c r="S223" s="3">
        <f t="shared" si="7"/>
        <v>0</v>
      </c>
      <c r="T223" s="5"/>
    </row>
    <row r="224" spans="1:20" ht="28.5" x14ac:dyDescent="0.25">
      <c r="A224" s="3" t="s">
        <v>287</v>
      </c>
      <c r="B224" s="3" t="s">
        <v>282</v>
      </c>
      <c r="C224" s="3">
        <v>3</v>
      </c>
      <c r="D224" s="3">
        <v>4</v>
      </c>
      <c r="E224" s="2" t="s">
        <v>489</v>
      </c>
      <c r="F224" s="3">
        <v>8</v>
      </c>
      <c r="G224" s="4" t="s">
        <v>573</v>
      </c>
      <c r="H224" s="4"/>
      <c r="I224" s="4"/>
      <c r="J224" s="4"/>
      <c r="K224" s="4">
        <v>1</v>
      </c>
      <c r="L224" s="3">
        <f t="shared" si="6"/>
        <v>7</v>
      </c>
      <c r="M224" s="4"/>
      <c r="N224" s="4">
        <v>1</v>
      </c>
      <c r="O224" s="4"/>
      <c r="P224" s="4"/>
      <c r="Q224" s="4"/>
      <c r="R224" s="4"/>
      <c r="S224" s="3">
        <f t="shared" si="7"/>
        <v>1</v>
      </c>
      <c r="T224" s="5"/>
    </row>
    <row r="225" spans="1:20" ht="42.75" x14ac:dyDescent="0.25">
      <c r="A225" s="3" t="s">
        <v>287</v>
      </c>
      <c r="B225" s="3" t="s">
        <v>282</v>
      </c>
      <c r="C225" s="3">
        <v>3</v>
      </c>
      <c r="D225" s="3">
        <v>5</v>
      </c>
      <c r="E225" s="2" t="s">
        <v>490</v>
      </c>
      <c r="F225" s="3">
        <v>12</v>
      </c>
      <c r="G225" s="4" t="s">
        <v>573</v>
      </c>
      <c r="H225" s="4">
        <v>2</v>
      </c>
      <c r="I225" s="4"/>
      <c r="J225" s="4">
        <v>2</v>
      </c>
      <c r="K225" s="4"/>
      <c r="L225" s="3">
        <f t="shared" si="6"/>
        <v>8</v>
      </c>
      <c r="M225" s="4"/>
      <c r="N225" s="4"/>
      <c r="O225" s="4"/>
      <c r="P225" s="4"/>
      <c r="Q225" s="4"/>
      <c r="R225" s="4"/>
      <c r="S225" s="3">
        <f t="shared" si="7"/>
        <v>0</v>
      </c>
      <c r="T225" s="5"/>
    </row>
    <row r="226" spans="1:20" ht="28.5" x14ac:dyDescent="0.25">
      <c r="A226" s="3" t="s">
        <v>287</v>
      </c>
      <c r="B226" s="3" t="s">
        <v>282</v>
      </c>
      <c r="C226" s="3">
        <v>3</v>
      </c>
      <c r="D226" s="3">
        <v>6</v>
      </c>
      <c r="E226" s="2" t="inlineStr">
        <is>
          <t xml:space="preserve">Шӏу зэрэлъэгъугъэм икъэIокӏэ (How their love is described)</t>
        </is>
      </c>
      <c r="F226" s="3">
        <v>8</v>
      </c>
      <c r="G226" s="4" t="s">
        <v>573</v>
      </c>
      <c r="H226" s="4">
        <v>1</v>
      </c>
      <c r="I226" s="4">
        <v>1</v>
      </c>
      <c r="J226" s="4"/>
      <c r="K226" s="4"/>
      <c r="L226" s="3">
        <f t="shared" si="6"/>
        <v>6</v>
      </c>
      <c r="M226" s="4"/>
      <c r="N226" s="4"/>
      <c r="O226" s="4"/>
      <c r="P226" s="4"/>
      <c r="Q226" s="4"/>
      <c r="R226" s="4"/>
      <c r="S226" s="3">
        <f t="shared" si="7"/>
        <v>0</v>
      </c>
      <c r="T226" s="5" t="inlineStr">
        <is>
          <t>Yazı sistemi karışıklığı.</t>
        </is>
      </c>
    </row>
    <row r="227" spans="1:20" ht="28.5" x14ac:dyDescent="0.25">
      <c r="A227" s="3" t="s">
        <v>287</v>
      </c>
      <c r="B227" s="3" t="s">
        <v>282</v>
      </c>
      <c r="C227" s="3">
        <v>3</v>
      </c>
      <c r="D227" s="3">
        <v>7</v>
      </c>
      <c r="E227" s="2" t="s">
        <v>492</v>
      </c>
      <c r="F227" s="3">
        <v>10</v>
      </c>
      <c r="G227" s="4" t="s">
        <v>573</v>
      </c>
      <c r="H227" s="4">
        <v>1</v>
      </c>
      <c r="I227" s="4"/>
      <c r="J227" s="4"/>
      <c r="K227" s="4">
        <v>1</v>
      </c>
      <c r="L227" s="3">
        <f t="shared" si="6"/>
        <v>8</v>
      </c>
      <c r="M227" s="4"/>
      <c r="N227" s="4">
        <v>1</v>
      </c>
      <c r="O227" s="4"/>
      <c r="P227" s="4"/>
      <c r="Q227" s="4"/>
      <c r="R227" s="4"/>
      <c r="S227" s="3">
        <f t="shared" si="7"/>
        <v>1</v>
      </c>
      <c r="T227" s="5"/>
    </row>
    <row r="228" spans="1:20" ht="42.75" x14ac:dyDescent="0.25">
      <c r="A228" s="3" t="s">
        <v>287</v>
      </c>
      <c r="B228" s="3" t="s">
        <v>282</v>
      </c>
      <c r="C228" s="3">
        <v>3</v>
      </c>
      <c r="D228" s="3">
        <v>8</v>
      </c>
      <c r="E228" s="2" t="s">
        <v>493</v>
      </c>
      <c r="F228" s="3">
        <v>10</v>
      </c>
      <c r="G228" s="4" t="s">
        <v>573</v>
      </c>
      <c r="H228" s="4">
        <v>1</v>
      </c>
      <c r="I228" s="4"/>
      <c r="J228" s="4"/>
      <c r="K228" s="4"/>
      <c r="L228" s="3">
        <f t="shared" si="6"/>
        <v>9</v>
      </c>
      <c r="M228" s="4"/>
      <c r="N228" s="4"/>
      <c r="O228" s="4"/>
      <c r="P228" s="4"/>
      <c r="Q228" s="4"/>
      <c r="R228" s="4"/>
      <c r="S228" s="3">
        <f t="shared" si="7"/>
        <v>0</v>
      </c>
      <c r="T228" s="5"/>
    </row>
    <row r="229" spans="1:20" x14ac:dyDescent="0.25">
      <c r="A229" s="3" t="s">
        <v>287</v>
      </c>
      <c r="B229" s="3" t="s">
        <v>282</v>
      </c>
      <c r="C229" s="3">
        <v>3</v>
      </c>
      <c r="D229" s="3">
        <v>9</v>
      </c>
      <c r="E229" s="2" t="inlineStr">
        <is>
          <t xml:space="preserve">Тхьалъэӏум игущыIэхэр (The wish / blessing)</t>
        </is>
      </c>
      <c r="F229" s="3">
        <v>5</v>
      </c>
      <c r="G229" s="4" t="s">
        <v>572</v>
      </c>
      <c r="H229" s="4"/>
      <c r="I229" s="4"/>
      <c r="J229" s="4"/>
      <c r="K229" s="4"/>
      <c r="L229" s="3">
        <f t="shared" si="6"/>
        <v>5</v>
      </c>
      <c r="M229" s="4"/>
      <c r="N229" s="4"/>
      <c r="O229" s="4"/>
      <c r="P229" s="4"/>
      <c r="Q229" s="4"/>
      <c r="R229" s="4"/>
      <c r="S229" s="3">
        <f t="shared" si="7"/>
        <v>0</v>
      </c>
      <c r="T229" s="5" t="inlineStr">
        <is>
          <t>Yazı sistemi karışıklığı.</t>
        </is>
      </c>
    </row>
    <row r="230" spans="1:20" ht="28.5" x14ac:dyDescent="0.25">
      <c r="A230" s="3" t="s">
        <v>287</v>
      </c>
      <c r="B230" s="3" t="s">
        <v>282</v>
      </c>
      <c r="C230" s="3">
        <v>3</v>
      </c>
      <c r="D230" s="3">
        <v>10</v>
      </c>
      <c r="E230" s="2" t="inlineStr">
        <is>
          <t xml:space="preserve">Япэ параграф: Унэгъо Iужъ (kalabalık / large) ыкӏи амал дэгъухэр агъотынэу елъэӏу.</t>
        </is>
      </c>
      <c r="F230" s="3">
        <v>11</v>
      </c>
      <c r="G230" s="4" t="s">
        <v>573</v>
      </c>
      <c r="H230" s="4"/>
      <c r="I230" s="4"/>
      <c r="J230" s="4"/>
      <c r="K230" s="4">
        <v>1</v>
      </c>
      <c r="L230" s="3">
        <f t="shared" si="6"/>
        <v>10</v>
      </c>
      <c r="M230" s="4"/>
      <c r="N230" s="4">
        <v>1</v>
      </c>
      <c r="O230" s="4"/>
      <c r="P230" s="4"/>
      <c r="Q230" s="4"/>
      <c r="R230" s="4"/>
      <c r="S230" s="3">
        <f t="shared" si="7"/>
        <v>1</v>
      </c>
      <c r="T230" s="5" t="inlineStr">
        <is>
          <t>Yazı sistemi karışıklığı.</t>
        </is>
      </c>
    </row>
    <row r="231" spans="1:20" ht="28.5" x14ac:dyDescent="0.25">
      <c r="A231" s="3" t="s">
        <v>287</v>
      </c>
      <c r="B231" s="3" t="s">
        <v>282</v>
      </c>
      <c r="C231" s="3">
        <v>3</v>
      </c>
      <c r="D231" s="3">
        <v>11</v>
      </c>
      <c r="E231" s="2" t="s">
        <v>496</v>
      </c>
      <c r="F231" s="3">
        <v>13</v>
      </c>
      <c r="G231" s="4" t="s">
        <v>573</v>
      </c>
      <c r="H231" s="4">
        <v>1</v>
      </c>
      <c r="I231" s="4"/>
      <c r="J231" s="4"/>
      <c r="K231" s="4"/>
      <c r="L231" s="3">
        <f t="shared" si="6"/>
        <v>12</v>
      </c>
      <c r="M231" s="4"/>
      <c r="N231" s="4"/>
      <c r="O231" s="4"/>
      <c r="P231" s="4"/>
      <c r="Q231" s="4"/>
      <c r="R231" s="4"/>
      <c r="S231" s="3">
        <f t="shared" si="7"/>
        <v>0</v>
      </c>
      <c r="T231" s="5"/>
    </row>
    <row r="232" spans="1:20" ht="28.5" x14ac:dyDescent="0.25">
      <c r="A232" s="3" t="s">
        <v>287</v>
      </c>
      <c r="B232" s="3" t="s">
        <v>282</v>
      </c>
      <c r="C232" s="3">
        <v>3</v>
      </c>
      <c r="D232" s="3">
        <v>12</v>
      </c>
      <c r="E232" s="2" t="inlineStr">
        <is>
          <t xml:space="preserve">Нэмыкӏ зэдэгъэзэжь е упчӏэ горэ уиIэба?</t>
        </is>
      </c>
      <c r="F232" s="3">
        <v>6</v>
      </c>
      <c r="G232" s="4" t="s">
        <v>573</v>
      </c>
      <c r="H232" s="4"/>
      <c r="I232" s="4"/>
      <c r="J232" s="4">
        <v>1</v>
      </c>
      <c r="K232" s="4"/>
      <c r="L232" s="3">
        <f t="shared" si="6"/>
        <v>5</v>
      </c>
      <c r="M232" s="4"/>
      <c r="N232" s="4"/>
      <c r="O232" s="4"/>
      <c r="P232" s="4"/>
      <c r="Q232" s="4"/>
      <c r="R232" s="4"/>
      <c r="S232" s="3">
        <f t="shared" si="7"/>
        <v>0</v>
      </c>
      <c r="T232" s="5" t="inlineStr">
        <is>
          <t>Yazı sistemi karışıklığı.</t>
        </is>
      </c>
    </row>
    <row r="233" spans="1:20" x14ac:dyDescent="0.25">
      <c r="A233" s="3" t="s">
        <v>289</v>
      </c>
      <c r="B233" s="3" t="s">
        <v>282</v>
      </c>
      <c r="C233" s="3">
        <v>4</v>
      </c>
      <c r="D233" s="3">
        <v>1</v>
      </c>
      <c r="E233" s="2" t="s">
        <v>498</v>
      </c>
      <c r="F233" s="3">
        <v>3</v>
      </c>
      <c r="G233" s="4" t="s">
        <v>572</v>
      </c>
      <c r="H233" s="4"/>
      <c r="I233" s="4"/>
      <c r="J233" s="4"/>
      <c r="K233" s="4"/>
      <c r="L233" s="3">
        <f t="shared" si="6"/>
        <v>3</v>
      </c>
      <c r="M233" s="4"/>
      <c r="N233" s="4"/>
      <c r="O233" s="4"/>
      <c r="P233" s="4"/>
      <c r="Q233" s="4"/>
      <c r="R233" s="4"/>
      <c r="S233" s="3">
        <f t="shared" si="7"/>
        <v>0</v>
      </c>
      <c r="T233" s="5"/>
    </row>
    <row r="234" spans="1:20" ht="28.5" x14ac:dyDescent="0.25">
      <c r="A234" s="3" t="s">
        <v>289</v>
      </c>
      <c r="B234" s="3" t="s">
        <v>282</v>
      </c>
      <c r="C234" s="3">
        <v>4</v>
      </c>
      <c r="D234" s="3">
        <v>2</v>
      </c>
      <c r="E234" s="2" t="s">
        <v>499</v>
      </c>
      <c r="F234" s="3">
        <v>9</v>
      </c>
      <c r="G234" s="4" t="s">
        <v>573</v>
      </c>
      <c r="H234" s="4">
        <v>1</v>
      </c>
      <c r="I234" s="4"/>
      <c r="J234" s="4"/>
      <c r="K234" s="4">
        <v>1</v>
      </c>
      <c r="L234" s="3">
        <f t="shared" si="6"/>
        <v>7</v>
      </c>
      <c r="M234" s="4"/>
      <c r="N234" s="4">
        <v>1</v>
      </c>
      <c r="O234" s="4"/>
      <c r="P234" s="4"/>
      <c r="Q234" s="4"/>
      <c r="R234" s="4"/>
      <c r="S234" s="3">
        <f t="shared" si="7"/>
        <v>1</v>
      </c>
      <c r="T234" s="5"/>
    </row>
    <row r="235" spans="1:20" x14ac:dyDescent="0.25">
      <c r="A235" s="3" t="s">
        <v>289</v>
      </c>
      <c r="B235" s="3" t="s">
        <v>282</v>
      </c>
      <c r="C235" s="3">
        <v>4</v>
      </c>
      <c r="D235" s="3">
        <v>3</v>
      </c>
      <c r="E235" s="2" t="s">
        <v>500</v>
      </c>
      <c r="F235" s="3">
        <v>1</v>
      </c>
      <c r="G235" s="4" t="s">
        <v>572</v>
      </c>
      <c r="H235" s="4"/>
      <c r="I235" s="4"/>
      <c r="J235" s="4"/>
      <c r="K235" s="4"/>
      <c r="L235" s="3">
        <f t="shared" si="6"/>
        <v>1</v>
      </c>
      <c r="M235" s="4"/>
      <c r="N235" s="4"/>
      <c r="O235" s="4"/>
      <c r="P235" s="4"/>
      <c r="Q235" s="4"/>
      <c r="R235" s="4"/>
      <c r="S235" s="3">
        <f t="shared" si="7"/>
        <v>0</v>
      </c>
      <c r="T235" s="5"/>
    </row>
    <row r="236" spans="1:20" ht="28.5" x14ac:dyDescent="0.25">
      <c r="A236" s="3" t="s">
        <v>289</v>
      </c>
      <c r="B236" s="3" t="s">
        <v>282</v>
      </c>
      <c r="C236" s="3">
        <v>4</v>
      </c>
      <c r="D236" s="3">
        <v>4</v>
      </c>
      <c r="E236" s="2" t="s">
        <v>501</v>
      </c>
      <c r="F236" s="3">
        <v>3</v>
      </c>
      <c r="G236" s="4" t="s">
        <v>573</v>
      </c>
      <c r="H236" s="4"/>
      <c r="I236" s="4"/>
      <c r="J236" s="4"/>
      <c r="K236" s="4">
        <v>1</v>
      </c>
      <c r="L236" s="3">
        <f t="shared" si="6"/>
        <v>2</v>
      </c>
      <c r="M236" s="4"/>
      <c r="N236" s="4">
        <v>1</v>
      </c>
      <c r="O236" s="4"/>
      <c r="P236" s="4"/>
      <c r="Q236" s="4"/>
      <c r="R236" s="4"/>
      <c r="S236" s="3">
        <f t="shared" si="7"/>
        <v>1</v>
      </c>
      <c r="T236" s="5"/>
    </row>
    <row r="237" spans="1:20" ht="28.5" x14ac:dyDescent="0.25">
      <c r="A237" s="3" t="s">
        <v>289</v>
      </c>
      <c r="B237" s="3" t="s">
        <v>282</v>
      </c>
      <c r="C237" s="3">
        <v>4</v>
      </c>
      <c r="D237" s="3">
        <v>5</v>
      </c>
      <c r="E237" s="2" t="s">
        <v>502</v>
      </c>
      <c r="F237" s="3">
        <v>4</v>
      </c>
      <c r="G237" s="4" t="s">
        <v>573</v>
      </c>
      <c r="H237" s="4"/>
      <c r="I237" s="4">
        <v>1</v>
      </c>
      <c r="J237" s="4"/>
      <c r="K237" s="4"/>
      <c r="L237" s="3">
        <f t="shared" si="6"/>
        <v>3</v>
      </c>
      <c r="M237" s="4"/>
      <c r="N237" s="4"/>
      <c r="O237" s="4"/>
      <c r="P237" s="4"/>
      <c r="Q237" s="4"/>
      <c r="R237" s="4"/>
      <c r="S237" s="3">
        <f t="shared" si="7"/>
        <v>0</v>
      </c>
      <c r="T237" s="5"/>
    </row>
    <row r="238" spans="1:20" ht="28.5" x14ac:dyDescent="0.25">
      <c r="A238" s="3" t="s">
        <v>289</v>
      </c>
      <c r="B238" s="3" t="s">
        <v>282</v>
      </c>
      <c r="C238" s="3">
        <v>4</v>
      </c>
      <c r="D238" s="3">
        <v>6</v>
      </c>
      <c r="E238" s="2" t="s">
        <v>503</v>
      </c>
      <c r="F238" s="3">
        <v>8</v>
      </c>
      <c r="G238" s="4" t="s">
        <v>573</v>
      </c>
      <c r="H238" s="4"/>
      <c r="I238" s="4"/>
      <c r="J238" s="4"/>
      <c r="K238" s="4">
        <v>1</v>
      </c>
      <c r="L238" s="3">
        <f t="shared" si="6"/>
        <v>7</v>
      </c>
      <c r="M238" s="4"/>
      <c r="N238" s="4">
        <v>1</v>
      </c>
      <c r="O238" s="4"/>
      <c r="P238" s="4"/>
      <c r="Q238" s="4"/>
      <c r="R238" s="4"/>
      <c r="S238" s="3">
        <f t="shared" si="7"/>
        <v>1</v>
      </c>
      <c r="T238" s="5"/>
    </row>
    <row r="239" spans="1:20" ht="28.5" x14ac:dyDescent="0.25">
      <c r="A239" s="3" t="s">
        <v>289</v>
      </c>
      <c r="B239" s="3" t="s">
        <v>282</v>
      </c>
      <c r="C239" s="3">
        <v>4</v>
      </c>
      <c r="D239" s="3">
        <v>7</v>
      </c>
      <c r="E239" s="2" t="s">
        <v>504</v>
      </c>
      <c r="F239" s="3">
        <v>7</v>
      </c>
      <c r="G239" s="4" t="s">
        <v>573</v>
      </c>
      <c r="H239" s="4">
        <v>1</v>
      </c>
      <c r="I239" s="4">
        <v>1</v>
      </c>
      <c r="J239" s="4"/>
      <c r="K239" s="4"/>
      <c r="L239" s="3">
        <f t="shared" si="6"/>
        <v>5</v>
      </c>
      <c r="M239" s="4"/>
      <c r="N239" s="4"/>
      <c r="O239" s="4"/>
      <c r="P239" s="4"/>
      <c r="Q239" s="4"/>
      <c r="R239" s="4"/>
      <c r="S239" s="3">
        <f t="shared" si="7"/>
        <v>0</v>
      </c>
      <c r="T239" s="5"/>
    </row>
    <row r="240" spans="1:20" ht="42.75" x14ac:dyDescent="0.25">
      <c r="A240" s="3" t="s">
        <v>289</v>
      </c>
      <c r="B240" s="3" t="s">
        <v>282</v>
      </c>
      <c r="C240" s="3">
        <v>4</v>
      </c>
      <c r="D240" s="3">
        <v>8</v>
      </c>
      <c r="E240" s="2" t="s">
        <v>505</v>
      </c>
      <c r="F240" s="3">
        <v>11</v>
      </c>
      <c r="G240" s="4" t="s">
        <v>573</v>
      </c>
      <c r="H240" s="4">
        <v>3</v>
      </c>
      <c r="I240" s="4">
        <v>1</v>
      </c>
      <c r="J240" s="4"/>
      <c r="K240" s="4">
        <v>1</v>
      </c>
      <c r="L240" s="3">
        <f t="shared" si="6"/>
        <v>6</v>
      </c>
      <c r="M240" s="4"/>
      <c r="N240" s="4">
        <v>1</v>
      </c>
      <c r="O240" s="4"/>
      <c r="P240" s="4"/>
      <c r="Q240" s="4"/>
      <c r="R240" s="4"/>
      <c r="S240" s="3">
        <f t="shared" si="7"/>
        <v>1</v>
      </c>
      <c r="T240" s="5"/>
    </row>
    <row r="241" spans="1:20" ht="28.5" x14ac:dyDescent="0.25">
      <c r="A241" s="3" t="s">
        <v>289</v>
      </c>
      <c r="B241" s="3" t="s">
        <v>282</v>
      </c>
      <c r="C241" s="3">
        <v>4</v>
      </c>
      <c r="D241" s="3">
        <v>9</v>
      </c>
      <c r="E241" s="2" t="s">
        <v>506</v>
      </c>
      <c r="F241" s="3">
        <v>6</v>
      </c>
      <c r="G241" s="4" t="s">
        <v>573</v>
      </c>
      <c r="H241" s="4"/>
      <c r="I241" s="4"/>
      <c r="J241" s="4"/>
      <c r="K241" s="4">
        <v>1</v>
      </c>
      <c r="L241" s="3">
        <f t="shared" si="6"/>
        <v>5</v>
      </c>
      <c r="M241" s="4"/>
      <c r="N241" s="4">
        <v>1</v>
      </c>
      <c r="O241" s="4"/>
      <c r="P241" s="4"/>
      <c r="Q241" s="4"/>
      <c r="R241" s="4"/>
      <c r="S241" s="3">
        <f t="shared" si="7"/>
        <v>1</v>
      </c>
      <c r="T241" s="5"/>
    </row>
    <row r="242" spans="1:20" ht="28.5" x14ac:dyDescent="0.25">
      <c r="A242" s="3" t="s">
        <v>289</v>
      </c>
      <c r="B242" s="3" t="s">
        <v>282</v>
      </c>
      <c r="C242" s="3">
        <v>4</v>
      </c>
      <c r="D242" s="3">
        <v>10</v>
      </c>
      <c r="E242" s="2" t="s">
        <v>507</v>
      </c>
      <c r="F242" s="3">
        <v>6</v>
      </c>
      <c r="G242" s="4" t="s">
        <v>573</v>
      </c>
      <c r="H242" s="4"/>
      <c r="I242" s="4">
        <v>1</v>
      </c>
      <c r="J242" s="4">
        <v>1</v>
      </c>
      <c r="K242" s="4"/>
      <c r="L242" s="3">
        <f t="shared" si="6"/>
        <v>4</v>
      </c>
      <c r="M242" s="4"/>
      <c r="N242" s="4"/>
      <c r="O242" s="4"/>
      <c r="P242" s="4"/>
      <c r="Q242" s="4"/>
      <c r="R242" s="4"/>
      <c r="S242" s="3">
        <f t="shared" si="7"/>
        <v>0</v>
      </c>
      <c r="T242" s="5"/>
    </row>
    <row r="243" spans="1:20" ht="28.5" x14ac:dyDescent="0.25">
      <c r="A243" s="3" t="s">
        <v>289</v>
      </c>
      <c r="B243" s="3" t="s">
        <v>282</v>
      </c>
      <c r="C243" s="3">
        <v>4</v>
      </c>
      <c r="D243" s="3">
        <v>11</v>
      </c>
      <c r="E243" s="2" t="s">
        <v>508</v>
      </c>
      <c r="F243" s="3">
        <v>12</v>
      </c>
      <c r="G243" s="4" t="s">
        <v>573</v>
      </c>
      <c r="H243" s="4"/>
      <c r="I243" s="4"/>
      <c r="J243" s="4"/>
      <c r="K243" s="4">
        <v>1</v>
      </c>
      <c r="L243" s="3">
        <f t="shared" si="6"/>
        <v>11</v>
      </c>
      <c r="M243" s="4"/>
      <c r="N243" s="4">
        <v>1</v>
      </c>
      <c r="O243" s="4"/>
      <c r="P243" s="4"/>
      <c r="Q243" s="4"/>
      <c r="R243" s="4"/>
      <c r="S243" s="3">
        <f t="shared" si="7"/>
        <v>1</v>
      </c>
      <c r="T243" s="5"/>
    </row>
    <row r="244" spans="1:20" ht="42.75" x14ac:dyDescent="0.25">
      <c r="A244" s="3" t="s">
        <v>289</v>
      </c>
      <c r="B244" s="3" t="s">
        <v>282</v>
      </c>
      <c r="C244" s="3">
        <v>4</v>
      </c>
      <c r="D244" s="3">
        <v>12</v>
      </c>
      <c r="E244" s="2" t="s">
        <v>509</v>
      </c>
      <c r="F244" s="3">
        <v>16</v>
      </c>
      <c r="G244" s="4" t="s">
        <v>573</v>
      </c>
      <c r="H244" s="4"/>
      <c r="I244" s="4">
        <v>2</v>
      </c>
      <c r="J244" s="4"/>
      <c r="K244" s="4"/>
      <c r="L244" s="3">
        <f t="shared" si="6"/>
        <v>14</v>
      </c>
      <c r="M244" s="4"/>
      <c r="N244" s="4"/>
      <c r="O244" s="4"/>
      <c r="P244" s="4"/>
      <c r="Q244" s="4"/>
      <c r="R244" s="4"/>
      <c r="S244" s="3">
        <f t="shared" si="7"/>
        <v>0</v>
      </c>
      <c r="T244" s="5"/>
    </row>
    <row r="245" spans="1:20" ht="28.5" x14ac:dyDescent="0.25">
      <c r="A245" s="3" t="s">
        <v>289</v>
      </c>
      <c r="B245" s="3" t="s">
        <v>282</v>
      </c>
      <c r="C245" s="3">
        <v>4</v>
      </c>
      <c r="D245" s="3">
        <v>13</v>
      </c>
      <c r="E245" s="2" t="s">
        <v>510</v>
      </c>
      <c r="F245" s="3">
        <v>5</v>
      </c>
      <c r="G245" s="4" t="s">
        <v>573</v>
      </c>
      <c r="H245" s="4"/>
      <c r="I245" s="4"/>
      <c r="J245" s="4"/>
      <c r="K245" s="4">
        <v>1</v>
      </c>
      <c r="L245" s="3">
        <f t="shared" si="6"/>
        <v>4</v>
      </c>
      <c r="M245" s="4"/>
      <c r="N245" s="4">
        <v>1</v>
      </c>
      <c r="O245" s="4"/>
      <c r="P245" s="4"/>
      <c r="Q245" s="4"/>
      <c r="R245" s="4"/>
      <c r="S245" s="3">
        <f t="shared" si="7"/>
        <v>1</v>
      </c>
      <c r="T245" s="5" t="s">
        <v>576</v>
      </c>
    </row>
    <row r="246" spans="1:20" ht="28.5" x14ac:dyDescent="0.25">
      <c r="A246" s="3" t="s">
        <v>289</v>
      </c>
      <c r="B246" s="3" t="s">
        <v>282</v>
      </c>
      <c r="C246" s="3">
        <v>4</v>
      </c>
      <c r="D246" s="3">
        <v>14</v>
      </c>
      <c r="E246" s="2" t="s">
        <v>511</v>
      </c>
      <c r="F246" s="3">
        <v>3</v>
      </c>
      <c r="G246" s="4" t="s">
        <v>573</v>
      </c>
      <c r="H246" s="4"/>
      <c r="I246" s="4">
        <v>1</v>
      </c>
      <c r="J246" s="4"/>
      <c r="K246" s="4"/>
      <c r="L246" s="3">
        <f t="shared" si="6"/>
        <v>2</v>
      </c>
      <c r="M246" s="4"/>
      <c r="N246" s="4"/>
      <c r="O246" s="4"/>
      <c r="P246" s="4"/>
      <c r="Q246" s="4"/>
      <c r="R246" s="4"/>
      <c r="S246" s="3">
        <f t="shared" si="7"/>
        <v>0</v>
      </c>
      <c r="T246" s="5" t="s">
        <v>577</v>
      </c>
    </row>
    <row r="247" spans="1:20" ht="28.5" x14ac:dyDescent="0.25">
      <c r="A247" s="3" t="s">
        <v>289</v>
      </c>
      <c r="B247" s="3" t="s">
        <v>282</v>
      </c>
      <c r="C247" s="3">
        <v>4</v>
      </c>
      <c r="D247" s="3">
        <v>15</v>
      </c>
      <c r="E247" s="2" t="s">
        <v>512</v>
      </c>
      <c r="F247" s="3">
        <v>5</v>
      </c>
      <c r="G247" s="4" t="s">
        <v>573</v>
      </c>
      <c r="H247" s="4"/>
      <c r="I247" s="4">
        <v>1</v>
      </c>
      <c r="J247" s="4"/>
      <c r="K247" s="4">
        <v>1</v>
      </c>
      <c r="L247" s="3">
        <f t="shared" si="6"/>
        <v>3</v>
      </c>
      <c r="M247" s="4"/>
      <c r="N247" s="4"/>
      <c r="O247" s="4">
        <v>1</v>
      </c>
      <c r="P247" s="4"/>
      <c r="Q247" s="4"/>
      <c r="R247" s="4"/>
      <c r="S247" s="3">
        <f t="shared" si="7"/>
        <v>1</v>
      </c>
      <c r="T247" s="5"/>
    </row>
    <row r="248" spans="1:20" ht="28.5" x14ac:dyDescent="0.25">
      <c r="A248" s="3" t="s">
        <v>289</v>
      </c>
      <c r="B248" s="3" t="s">
        <v>282</v>
      </c>
      <c r="C248" s="3">
        <v>4</v>
      </c>
      <c r="D248" s="3">
        <v>16</v>
      </c>
      <c r="E248" s="2" t="s">
        <v>513</v>
      </c>
      <c r="F248" s="3">
        <v>9</v>
      </c>
      <c r="G248" s="4" t="s">
        <v>573</v>
      </c>
      <c r="H248" s="4">
        <v>2</v>
      </c>
      <c r="I248" s="4">
        <v>1</v>
      </c>
      <c r="J248" s="4"/>
      <c r="K248" s="4">
        <v>1</v>
      </c>
      <c r="L248" s="3">
        <f t="shared" si="6"/>
        <v>5</v>
      </c>
      <c r="M248" s="4"/>
      <c r="N248" s="4">
        <v>1</v>
      </c>
      <c r="O248" s="4"/>
      <c r="P248" s="4"/>
      <c r="Q248" s="4"/>
      <c r="R248" s="4"/>
      <c r="S248" s="3">
        <f t="shared" si="7"/>
        <v>1</v>
      </c>
      <c r="T248" s="5"/>
    </row>
    <row r="249" spans="1:20" x14ac:dyDescent="0.25">
      <c r="A249" s="3" t="s">
        <v>291</v>
      </c>
      <c r="B249" s="3" t="s">
        <v>282</v>
      </c>
      <c r="C249" s="3">
        <v>5</v>
      </c>
      <c r="D249" s="3">
        <v>1</v>
      </c>
      <c r="E249" s="2" t="s">
        <v>498</v>
      </c>
      <c r="F249" s="3">
        <v>3</v>
      </c>
      <c r="G249" s="4" t="s">
        <v>572</v>
      </c>
      <c r="H249" s="4"/>
      <c r="I249" s="4"/>
      <c r="J249" s="4"/>
      <c r="K249" s="4"/>
      <c r="L249" s="3">
        <f t="shared" si="6"/>
        <v>3</v>
      </c>
      <c r="M249" s="4"/>
      <c r="N249" s="4"/>
      <c r="O249" s="4"/>
      <c r="P249" s="4"/>
      <c r="Q249" s="4"/>
      <c r="R249" s="4"/>
      <c r="S249" s="3">
        <f t="shared" si="7"/>
        <v>0</v>
      </c>
      <c r="T249" s="5"/>
    </row>
    <row r="250" spans="1:20" x14ac:dyDescent="0.25">
      <c r="A250" s="3" t="s">
        <v>291</v>
      </c>
      <c r="B250" s="3" t="s">
        <v>282</v>
      </c>
      <c r="C250" s="3">
        <v>5</v>
      </c>
      <c r="D250" s="3">
        <v>2</v>
      </c>
      <c r="E250" s="2" t="s">
        <v>514</v>
      </c>
      <c r="F250" s="3">
        <v>1</v>
      </c>
      <c r="G250" s="4" t="s">
        <v>572</v>
      </c>
      <c r="H250" s="4"/>
      <c r="I250" s="4"/>
      <c r="J250" s="4"/>
      <c r="K250" s="4"/>
      <c r="L250" s="3">
        <f t="shared" si="6"/>
        <v>1</v>
      </c>
      <c r="M250" s="4"/>
      <c r="N250" s="4"/>
      <c r="O250" s="4"/>
      <c r="P250" s="4"/>
      <c r="Q250" s="4"/>
      <c r="R250" s="4"/>
      <c r="S250" s="3">
        <f t="shared" si="7"/>
        <v>0</v>
      </c>
      <c r="T250" s="5"/>
    </row>
    <row r="251" spans="1:20" ht="28.5" x14ac:dyDescent="0.25">
      <c r="A251" s="3" t="s">
        <v>291</v>
      </c>
      <c r="B251" s="3" t="s">
        <v>282</v>
      </c>
      <c r="C251" s="3">
        <v>5</v>
      </c>
      <c r="D251" s="3">
        <v>3</v>
      </c>
      <c r="E251" s="2" t="s">
        <v>515</v>
      </c>
      <c r="F251" s="3">
        <v>8</v>
      </c>
      <c r="G251" s="4" t="s">
        <v>573</v>
      </c>
      <c r="H251" s="4">
        <v>1</v>
      </c>
      <c r="I251" s="4"/>
      <c r="J251" s="4">
        <v>1</v>
      </c>
      <c r="K251" s="4">
        <v>1</v>
      </c>
      <c r="L251" s="3">
        <f t="shared" si="6"/>
        <v>5</v>
      </c>
      <c r="M251" s="4"/>
      <c r="N251" s="4"/>
      <c r="O251" s="4"/>
      <c r="P251" s="4">
        <v>1</v>
      </c>
      <c r="Q251" s="4"/>
      <c r="R251" s="4"/>
      <c r="S251" s="3">
        <f t="shared" si="7"/>
        <v>1</v>
      </c>
      <c r="T251" s="5" t="s">
        <v>578</v>
      </c>
    </row>
    <row r="252" spans="1:20" ht="42.75" x14ac:dyDescent="0.25">
      <c r="A252" s="3" t="s">
        <v>291</v>
      </c>
      <c r="B252" s="3" t="s">
        <v>282</v>
      </c>
      <c r="C252" s="3">
        <v>5</v>
      </c>
      <c r="D252" s="3">
        <v>4</v>
      </c>
      <c r="E252" s="2" t="s">
        <v>516</v>
      </c>
      <c r="F252" s="3">
        <v>9</v>
      </c>
      <c r="G252" s="4" t="s">
        <v>573</v>
      </c>
      <c r="H252" s="4">
        <v>2</v>
      </c>
      <c r="I252" s="4"/>
      <c r="J252" s="4"/>
      <c r="K252" s="4"/>
      <c r="L252" s="3">
        <f t="shared" si="6"/>
        <v>7</v>
      </c>
      <c r="M252" s="4"/>
      <c r="N252" s="4"/>
      <c r="O252" s="4"/>
      <c r="P252" s="4"/>
      <c r="Q252" s="4"/>
      <c r="R252" s="4"/>
      <c r="S252" s="3">
        <f t="shared" si="7"/>
        <v>0</v>
      </c>
      <c r="T252" s="5"/>
    </row>
    <row r="253" spans="1:20" ht="28.5" x14ac:dyDescent="0.25">
      <c r="A253" s="3" t="s">
        <v>291</v>
      </c>
      <c r="B253" s="3" t="s">
        <v>282</v>
      </c>
      <c r="C253" s="3">
        <v>5</v>
      </c>
      <c r="D253" s="3">
        <v>5</v>
      </c>
      <c r="E253" s="2" t="s">
        <v>517</v>
      </c>
      <c r="F253" s="3">
        <v>7</v>
      </c>
      <c r="G253" s="4" t="s">
        <v>573</v>
      </c>
      <c r="H253" s="4">
        <v>1</v>
      </c>
      <c r="I253" s="4"/>
      <c r="J253" s="4"/>
      <c r="K253" s="4"/>
      <c r="L253" s="3">
        <f t="shared" si="6"/>
        <v>6</v>
      </c>
      <c r="M253" s="4"/>
      <c r="N253" s="4"/>
      <c r="O253" s="4"/>
      <c r="P253" s="4"/>
      <c r="Q253" s="4"/>
      <c r="R253" s="4"/>
      <c r="S253" s="3">
        <f t="shared" si="7"/>
        <v>0</v>
      </c>
      <c r="T253" s="5"/>
    </row>
    <row r="254" spans="1:20" ht="28.5" x14ac:dyDescent="0.25">
      <c r="A254" s="3" t="s">
        <v>291</v>
      </c>
      <c r="B254" s="3" t="s">
        <v>282</v>
      </c>
      <c r="C254" s="3">
        <v>5</v>
      </c>
      <c r="D254" s="3">
        <v>6</v>
      </c>
      <c r="E254" s="2" t="s">
        <v>518</v>
      </c>
      <c r="F254" s="3">
        <v>7</v>
      </c>
      <c r="G254" s="4" t="s">
        <v>573</v>
      </c>
      <c r="H254" s="4">
        <v>2</v>
      </c>
      <c r="I254" s="4"/>
      <c r="J254" s="4"/>
      <c r="K254" s="4"/>
      <c r="L254" s="3">
        <f t="shared" si="6"/>
        <v>5</v>
      </c>
      <c r="M254" s="4"/>
      <c r="N254" s="4"/>
      <c r="O254" s="4"/>
      <c r="P254" s="4"/>
      <c r="Q254" s="4"/>
      <c r="R254" s="4"/>
      <c r="S254" s="3">
        <f t="shared" si="7"/>
        <v>0</v>
      </c>
      <c r="T254" s="5"/>
    </row>
    <row r="255" spans="1:20" ht="28.5" x14ac:dyDescent="0.25">
      <c r="A255" s="3" t="s">
        <v>291</v>
      </c>
      <c r="B255" s="3" t="s">
        <v>282</v>
      </c>
      <c r="C255" s="3">
        <v>5</v>
      </c>
      <c r="D255" s="3">
        <v>7</v>
      </c>
      <c r="E255" s="2" t="s">
        <v>519</v>
      </c>
      <c r="F255" s="3">
        <v>5</v>
      </c>
      <c r="G255" s="4" t="s">
        <v>573</v>
      </c>
      <c r="H255" s="4">
        <v>2</v>
      </c>
      <c r="I255" s="4"/>
      <c r="J255" s="4"/>
      <c r="K255" s="4"/>
      <c r="L255" s="3">
        <f t="shared" si="6"/>
        <v>3</v>
      </c>
      <c r="M255" s="4"/>
      <c r="N255" s="4"/>
      <c r="O255" s="4"/>
      <c r="P255" s="4"/>
      <c r="Q255" s="4"/>
      <c r="R255" s="4"/>
      <c r="S255" s="3">
        <f t="shared" si="7"/>
        <v>0</v>
      </c>
      <c r="T255" s="5"/>
    </row>
    <row r="256" spans="1:20" ht="28.5" x14ac:dyDescent="0.25">
      <c r="A256" s="3" t="s">
        <v>291</v>
      </c>
      <c r="B256" s="3" t="s">
        <v>282</v>
      </c>
      <c r="C256" s="3">
        <v>5</v>
      </c>
      <c r="D256" s="3">
        <v>8</v>
      </c>
      <c r="E256" s="2" t="s">
        <v>520</v>
      </c>
      <c r="F256" s="3">
        <v>8</v>
      </c>
      <c r="G256" s="4" t="s">
        <v>573</v>
      </c>
      <c r="H256" s="4">
        <v>1</v>
      </c>
      <c r="I256" s="4"/>
      <c r="J256" s="4"/>
      <c r="K256" s="4"/>
      <c r="L256" s="3">
        <f t="shared" si="6"/>
        <v>7</v>
      </c>
      <c r="M256" s="4"/>
      <c r="N256" s="4"/>
      <c r="O256" s="4"/>
      <c r="P256" s="4"/>
      <c r="Q256" s="4"/>
      <c r="R256" s="4"/>
      <c r="S256" s="3">
        <f t="shared" si="7"/>
        <v>0</v>
      </c>
      <c r="T256" s="5" t="s">
        <v>576</v>
      </c>
    </row>
    <row r="257" spans="1:20" ht="28.5" x14ac:dyDescent="0.25">
      <c r="A257" s="3" t="s">
        <v>291</v>
      </c>
      <c r="B257" s="3" t="s">
        <v>282</v>
      </c>
      <c r="C257" s="3">
        <v>5</v>
      </c>
      <c r="D257" s="3">
        <v>9</v>
      </c>
      <c r="E257" s="2" t="s">
        <v>521</v>
      </c>
      <c r="F257" s="3">
        <v>3</v>
      </c>
      <c r="G257" s="4" t="s">
        <v>573</v>
      </c>
      <c r="H257" s="4">
        <v>2</v>
      </c>
      <c r="I257" s="4"/>
      <c r="J257" s="4"/>
      <c r="K257" s="4"/>
      <c r="L257" s="3">
        <f t="shared" si="6"/>
        <v>1</v>
      </c>
      <c r="M257" s="4"/>
      <c r="N257" s="4"/>
      <c r="O257" s="4"/>
      <c r="P257" s="4"/>
      <c r="Q257" s="4"/>
      <c r="R257" s="4"/>
      <c r="S257" s="3">
        <f t="shared" si="7"/>
        <v>0</v>
      </c>
      <c r="T257" s="5" t="s">
        <v>577</v>
      </c>
    </row>
    <row r="258" spans="1:20" ht="28.5" x14ac:dyDescent="0.25">
      <c r="A258" s="3" t="s">
        <v>291</v>
      </c>
      <c r="B258" s="3" t="s">
        <v>282</v>
      </c>
      <c r="C258" s="3">
        <v>5</v>
      </c>
      <c r="D258" s="3">
        <v>10</v>
      </c>
      <c r="E258" s="2" t="s">
        <v>522</v>
      </c>
      <c r="F258" s="3">
        <v>9</v>
      </c>
      <c r="G258" s="4" t="s">
        <v>573</v>
      </c>
      <c r="H258" s="4">
        <v>2</v>
      </c>
      <c r="I258" s="4"/>
      <c r="J258" s="4"/>
      <c r="K258" s="4"/>
      <c r="L258" s="3">
        <f t="shared" ref="L258:L261" si="8">F258-(H258+I258+J258+K258)</f>
        <v>7</v>
      </c>
      <c r="M258" s="4"/>
      <c r="N258" s="4"/>
      <c r="O258" s="4"/>
      <c r="P258" s="4"/>
      <c r="Q258" s="4"/>
      <c r="R258" s="4"/>
      <c r="S258" s="3">
        <f t="shared" ref="S258:S261" si="9">N258+O258+P258+Q258+R258</f>
        <v>0</v>
      </c>
      <c r="T258" s="5"/>
    </row>
    <row r="259" spans="1:20" ht="42.75" x14ac:dyDescent="0.25">
      <c r="A259" s="3" t="s">
        <v>291</v>
      </c>
      <c r="B259" s="3" t="s">
        <v>282</v>
      </c>
      <c r="C259" s="3">
        <v>5</v>
      </c>
      <c r="D259" s="3">
        <v>11</v>
      </c>
      <c r="E259" s="2" t="s">
        <v>523</v>
      </c>
      <c r="F259" s="3">
        <v>15</v>
      </c>
      <c r="G259" s="4" t="s">
        <v>573</v>
      </c>
      <c r="H259" s="4">
        <v>2</v>
      </c>
      <c r="I259" s="4"/>
      <c r="J259" s="4"/>
      <c r="K259" s="4"/>
      <c r="L259" s="3">
        <f t="shared" si="8"/>
        <v>13</v>
      </c>
      <c r="M259" s="4"/>
      <c r="N259" s="4"/>
      <c r="O259" s="4"/>
      <c r="P259" s="4"/>
      <c r="Q259" s="4"/>
      <c r="R259" s="4"/>
      <c r="S259" s="3">
        <f t="shared" si="9"/>
        <v>0</v>
      </c>
      <c r="T259" s="8" t="s">
        <v>576</v>
      </c>
    </row>
    <row r="260" spans="1:20" ht="28.5" x14ac:dyDescent="0.25">
      <c r="A260" s="3" t="s">
        <v>291</v>
      </c>
      <c r="B260" s="3" t="s">
        <v>282</v>
      </c>
      <c r="C260" s="3">
        <v>5</v>
      </c>
      <c r="D260" s="3">
        <v>12</v>
      </c>
      <c r="E260" s="2" t="s">
        <v>524</v>
      </c>
      <c r="F260" s="3">
        <v>5</v>
      </c>
      <c r="G260" s="4" t="s">
        <v>572</v>
      </c>
      <c r="H260" s="4"/>
      <c r="I260" s="4"/>
      <c r="J260" s="4"/>
      <c r="K260" s="4"/>
      <c r="L260" s="3">
        <f t="shared" si="8"/>
        <v>5</v>
      </c>
      <c r="M260" s="4"/>
      <c r="N260" s="4"/>
      <c r="O260" s="4"/>
      <c r="P260" s="4"/>
      <c r="Q260" s="4"/>
      <c r="R260" s="4"/>
      <c r="S260" s="3">
        <f t="shared" si="9"/>
        <v>0</v>
      </c>
      <c r="T260" s="8" t="s">
        <v>577</v>
      </c>
    </row>
    <row r="261" spans="1:20" ht="28.5" x14ac:dyDescent="0.25">
      <c r="A261" s="3" t="s">
        <v>291</v>
      </c>
      <c r="B261" s="3" t="s">
        <v>282</v>
      </c>
      <c r="C261" s="3">
        <v>5</v>
      </c>
      <c r="D261" s="3">
        <v>13</v>
      </c>
      <c r="E261" s="2" t="s">
        <v>525</v>
      </c>
      <c r="F261" s="3">
        <v>3</v>
      </c>
      <c r="G261" s="4" t="s">
        <v>573</v>
      </c>
      <c r="H261" s="4">
        <v>1</v>
      </c>
      <c r="I261" s="4">
        <v>1</v>
      </c>
      <c r="J261" s="4"/>
      <c r="K261" s="4"/>
      <c r="L261" s="3">
        <f t="shared" si="8"/>
        <v>1</v>
      </c>
      <c r="M261" s="4"/>
      <c r="N261" s="4"/>
      <c r="O261" s="4"/>
      <c r="P261" s="4"/>
      <c r="Q261" s="4"/>
      <c r="R261" s="4"/>
      <c r="S261" s="3">
        <f t="shared" si="9"/>
        <v>0</v>
      </c>
      <c r="T261" s="5"/>
    </row>
  </sheetData>
  <sheetProtection sheet="1" objects="1" scenarios="1" formatColumns="0" formatRows="0"/>
  <dataValidations count="4">
    <dataValidation type="list" allowBlank="1" showErrorMessage="1" sqref="G2:G261" xr:uid="{00000000-0002-0000-0200-000000000000}">
      <formula1>"doğru / правильно,yanlış ama anlaşılır / понятно,yanlış ve anlamsız / непонятно"</formula1>
    </dataValidation>
    <dataValidation type="whole" operator="greaterThanOrEqual" allowBlank="1" showErrorMessage="1" sqref="M2:R261 H2:K261" xr:uid="{00000000-0002-0000-0200-000001000000}">
      <formula1>0</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H2:K261" xr:uid="{00000000-0002-0000-0200-00000B000000}">
      <formula1>SUM($H2:$K2)&lt;=$F2</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M2:M261" xr:uid="{00000000-0002-0000-0200-00000C000000}">
      <formula1>SUM($H2:$K2)+$M2&lt;=$F2</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workbookViewId="0"/>
  </sheetViews>
  <sheetFormatPr defaultRowHeight="14.25" x14ac:dyDescent="0.25"/>
  <cols>
    <col min="1" max="1" width="40" customWidth="1"/>
    <col min="2" max="9" width="16" customWidth="1"/>
  </cols>
  <sheetData>
    <row r="1" spans="1:9" x14ac:dyDescent="0.25">
      <c r="A1" s="1" t="s">
        <v>526</v>
      </c>
    </row>
    <row r="3" spans="1:9" ht="28.5" x14ac:dyDescent="0.25">
      <c r="A3" s="1" t="s">
        <v>527</v>
      </c>
    </row>
    <row r="4" spans="1:9" ht="120" customHeight="1" x14ac:dyDescent="0.25">
      <c r="A4" s="1" t="s">
        <v>528</v>
      </c>
      <c r="B4" s="1" t="s">
        <v>529</v>
      </c>
      <c r="C4" s="1" t="s">
        <v>296</v>
      </c>
      <c r="D4" s="1" t="s">
        <v>297</v>
      </c>
      <c r="E4" s="1" t="s">
        <v>298</v>
      </c>
      <c r="F4" s="1" t="s">
        <v>299</v>
      </c>
      <c r="G4" s="1" t="s">
        <v>530</v>
      </c>
      <c r="H4" s="1" t="s">
        <v>531</v>
      </c>
      <c r="I4" s="1" t="s">
        <v>532</v>
      </c>
    </row>
    <row r="5" spans="1:9" x14ac:dyDescent="0.25">
      <c r="A5" s="3" t="s">
        <v>533</v>
      </c>
      <c r="B5" s="3">
        <f>SUMIF(Responses!$C:$C,"1",Responses!$G:$G)</f>
        <v>200</v>
      </c>
      <c r="C5" s="3">
        <f>SUMIFS(Sentences!$H:$H,Sentences!$C:$C,"1")</f>
        <v>21</v>
      </c>
      <c r="D5" s="3">
        <f>SUMIFS(Sentences!$I:$I,Sentences!$C:$C,"1")</f>
        <v>8</v>
      </c>
      <c r="E5" s="3">
        <f>SUMIFS(Sentences!$J:$J,Sentences!$C:$C,"1")</f>
        <v>3</v>
      </c>
      <c r="F5" s="3">
        <f>SUMIFS(Sentences!$K:$K,Sentences!$C:$C,"1")</f>
        <v>1</v>
      </c>
      <c r="G5" s="3">
        <f>C5+D5+E5+F5</f>
        <v>33</v>
      </c>
      <c r="H5" s="3">
        <f>IF(B5=0,0,(C5+D5+E5+F5)*100/B5)</f>
        <v>16.5</v>
      </c>
      <c r="I5" s="3">
        <f>SUMIFS(Sentences!$M:$M,Sentences!$C:$C,"1")</f>
        <v>0</v>
      </c>
    </row>
    <row r="6" spans="1:9" x14ac:dyDescent="0.25">
      <c r="A6" s="3" t="s">
        <v>534</v>
      </c>
      <c r="B6" s="3">
        <f>SUMIF(Responses!$C:$C,"2",Responses!$G:$G)</f>
        <v>510</v>
      </c>
      <c r="C6" s="3">
        <f>SUMIFS(Sentences!$H:$H,Sentences!$C:$C,"2")</f>
        <v>54</v>
      </c>
      <c r="D6" s="3">
        <f>SUMIFS(Sentences!$I:$I,Sentences!$C:$C,"2")</f>
        <v>28</v>
      </c>
      <c r="E6" s="3">
        <f>SUMIFS(Sentences!$J:$J,Sentences!$C:$C,"2")</f>
        <v>10</v>
      </c>
      <c r="F6" s="3">
        <f>SUMIFS(Sentences!$K:$K,Sentences!$C:$C,"2")</f>
        <v>1</v>
      </c>
      <c r="G6" s="3">
        <f>C6+D6+E6+F6</f>
        <v>93</v>
      </c>
      <c r="H6" s="3">
        <f>IF(B6=0,0,(C6+D6+E6+F6)*100/B6)</f>
        <v>18.235294117647058</v>
      </c>
      <c r="I6" s="3">
        <f>SUMIFS(Sentences!$M:$M,Sentences!$C:$C,"2")</f>
        <v>0</v>
      </c>
    </row>
    <row r="7" spans="1:9" x14ac:dyDescent="0.25">
      <c r="A7" s="3" t="s">
        <v>535</v>
      </c>
      <c r="B7" s="3">
        <f>SUMIF(Responses!$C:$C,"3",Responses!$G:$G)</f>
        <v>342</v>
      </c>
      <c r="C7" s="3">
        <f>SUMIFS(Sentences!$H:$H,Sentences!$C:$C,"3")</f>
        <v>33</v>
      </c>
      <c r="D7" s="3">
        <f>SUMIFS(Sentences!$I:$I,Sentences!$C:$C,"3")</f>
        <v>5</v>
      </c>
      <c r="E7" s="3">
        <f>SUMIFS(Sentences!$J:$J,Sentences!$C:$C,"3")</f>
        <v>6</v>
      </c>
      <c r="F7" s="3">
        <f>SUMIFS(Sentences!$K:$K,Sentences!$C:$C,"3")</f>
        <v>10</v>
      </c>
      <c r="G7" s="3">
        <f>C7+D7+E7+F7</f>
        <v>54</v>
      </c>
      <c r="H7" s="3">
        <f>IF(B7=0,0,(C7+D7+E7+F7)*100/B7)</f>
        <v>15.789473684210526</v>
      </c>
      <c r="I7" s="3">
        <f>SUMIFS(Sentences!$M:$M,Sentences!$C:$C,"3")</f>
        <v>0</v>
      </c>
    </row>
    <row r="8" spans="1:9" x14ac:dyDescent="0.25">
      <c r="A8" s="3" t="s">
        <v>536</v>
      </c>
      <c r="B8" s="3">
        <f>SUMIF(Responses!$C:$C,"4",Responses!$G:$G)</f>
        <v>310</v>
      </c>
      <c r="C8" s="3">
        <f>SUMIFS(Sentences!$H:$H,Sentences!$C:$C,"4")</f>
        <v>34</v>
      </c>
      <c r="D8" s="3">
        <f>SUMIFS(Sentences!$I:$I,Sentences!$C:$C,"4")</f>
        <v>13</v>
      </c>
      <c r="E8" s="3">
        <f>SUMIFS(Sentences!$J:$J,Sentences!$C:$C,"4")</f>
        <v>2</v>
      </c>
      <c r="F8" s="3">
        <f>SUMIFS(Sentences!$K:$K,Sentences!$C:$C,"4")</f>
        <v>13</v>
      </c>
      <c r="G8" s="3">
        <f>C8+D8+E8+F8</f>
        <v>62</v>
      </c>
      <c r="H8" s="3">
        <f>IF(B8=0,0,(C8+D8+E8+F8)*100/B8)</f>
        <v>20</v>
      </c>
      <c r="I8" s="3">
        <f>SUMIFS(Sentences!$M:$M,Sentences!$C:$C,"4")</f>
        <v>0</v>
      </c>
    </row>
    <row r="9" spans="1:9" x14ac:dyDescent="0.25">
      <c r="A9" s="3" t="s">
        <v>537</v>
      </c>
      <c r="B9" s="3">
        <f>SUMIF(Responses!$C:$C,"5",Responses!$G:$G)</f>
        <v>238</v>
      </c>
      <c r="C9" s="3">
        <f>SUMIFS(Sentences!$H:$H,Sentences!$C:$C,"5")</f>
        <v>31</v>
      </c>
      <c r="D9" s="3">
        <f>SUMIFS(Sentences!$I:$I,Sentences!$C:$C,"5")</f>
        <v>3</v>
      </c>
      <c r="E9" s="3">
        <f>SUMIFS(Sentences!$J:$J,Sentences!$C:$C,"5")</f>
        <v>2</v>
      </c>
      <c r="F9" s="3">
        <f>SUMIFS(Sentences!$K:$K,Sentences!$C:$C,"5")</f>
        <v>4</v>
      </c>
      <c r="G9" s="3">
        <f>C9+D9+E9+F9</f>
        <v>40</v>
      </c>
      <c r="H9" s="3">
        <f>IF(B9=0,0,(C9+D9+E9+F9)*100/B9)</f>
        <v>16.806722689075631</v>
      </c>
      <c r="I9" s="3">
        <f>SUMIFS(Sentences!$M:$M,Sentences!$C:$C,"5")</f>
        <v>0</v>
      </c>
    </row>
    <row r="11" spans="1:9" ht="42.75" x14ac:dyDescent="0.25">
      <c r="A11" s="1" t="s">
        <v>538</v>
      </c>
    </row>
    <row r="12" spans="1:9" ht="120" customHeight="1" x14ac:dyDescent="0.25">
      <c r="A12" s="1" t="s">
        <v>528</v>
      </c>
      <c r="B12" s="1" t="s">
        <v>539</v>
      </c>
      <c r="C12" s="1" t="s">
        <v>540</v>
      </c>
      <c r="D12" s="1" t="s">
        <v>541</v>
      </c>
    </row>
    <row r="13" spans="1:9" x14ac:dyDescent="0.25">
      <c r="A13" s="3" t="s">
        <v>533</v>
      </c>
      <c r="B13" s="3">
        <f>COUNTIFS(Sentences!$C:$C,"1",Sentences!$G:$G,"doğru / правильно")</f>
        <v>22</v>
      </c>
      <c r="C13" s="3">
        <f>COUNTIFS(Sentences!$C:$C,"1",Sentences!$G:$G,"yanlış ama anlaşılır / понятно")</f>
        <v>10</v>
      </c>
      <c r="D13" s="3">
        <f>COUNTIFS(Sentences!$C:$C,"1",Sentences!$G:$G,"yanlış ve anlamsız / непонятно")</f>
        <v>1</v>
      </c>
    </row>
    <row r="14" spans="1:9" x14ac:dyDescent="0.25">
      <c r="A14" s="3" t="s">
        <v>534</v>
      </c>
      <c r="B14" s="3">
        <f>COUNTIFS(Sentences!$C:$C,"2",Sentences!$G:$G,"doğru / правильно")</f>
        <v>40</v>
      </c>
      <c r="C14" s="3">
        <f>COUNTIFS(Sentences!$C:$C,"2",Sentences!$G:$G,"yanlış ama anlaşılır / понятно")</f>
        <v>36</v>
      </c>
      <c r="D14" s="3">
        <f>COUNTIFS(Sentences!$C:$C,"2",Sentences!$G:$G,"yanlış ve anlamsız / непонятно")</f>
        <v>0</v>
      </c>
    </row>
    <row r="15" spans="1:9" x14ac:dyDescent="0.25">
      <c r="A15" s="3" t="s">
        <v>535</v>
      </c>
      <c r="B15" s="3">
        <f>COUNTIFS(Sentences!$C:$C,"3",Sentences!$G:$G,"doğru / правильно")</f>
        <v>22</v>
      </c>
      <c r="C15" s="3">
        <f>COUNTIFS(Sentences!$C:$C,"3",Sentences!$G:$G,"yanlış ama anlaşılır / понятно")</f>
        <v>28</v>
      </c>
      <c r="D15" s="3">
        <f>COUNTIFS(Sentences!$C:$C,"3",Sentences!$G:$G,"yanlış ve anlamsız / непонятно")</f>
        <v>0</v>
      </c>
    </row>
    <row r="16" spans="1:9" x14ac:dyDescent="0.25">
      <c r="A16" s="3" t="s">
        <v>536</v>
      </c>
      <c r="B16" s="3">
        <f>COUNTIFS(Sentences!$C:$C,"4",Sentences!$G:$G,"doğru / правильно")</f>
        <v>20</v>
      </c>
      <c r="C16" s="3">
        <f>COUNTIFS(Sentences!$C:$C,"4",Sentences!$G:$G,"yanlış ama anlaşılır / понятно")</f>
        <v>32</v>
      </c>
      <c r="D16" s="3">
        <f>COUNTIFS(Sentences!$C:$C,"4",Sentences!$G:$G,"yanlış ve anlamsız / непонятно")</f>
        <v>0</v>
      </c>
    </row>
    <row r="17" spans="1:4" x14ac:dyDescent="0.25">
      <c r="A17" s="3" t="s">
        <v>537</v>
      </c>
      <c r="B17" s="3">
        <f>COUNTIFS(Sentences!$C:$C,"5",Sentences!$G:$G,"doğru / правильно")</f>
        <v>25</v>
      </c>
      <c r="C17" s="3">
        <f>COUNTIFS(Sentences!$C:$C,"5",Sentences!$G:$G,"yanlış ama anlaşılır / понятно")</f>
        <v>23</v>
      </c>
      <c r="D17" s="3">
        <f>COUNTIFS(Sentences!$C:$C,"5",Sentences!$G:$G,"yanlış ve anlamsız / непонятно")</f>
        <v>1</v>
      </c>
    </row>
    <row r="19" spans="1:4" ht="42.75" x14ac:dyDescent="0.25">
      <c r="A19" s="1" t="s">
        <v>542</v>
      </c>
    </row>
    <row r="20" spans="1:4" ht="75" customHeight="1" x14ac:dyDescent="0.25">
      <c r="A20" s="1" t="s">
        <v>528</v>
      </c>
      <c r="B20" s="1" t="s">
        <v>543</v>
      </c>
      <c r="C20" s="1" t="s">
        <v>544</v>
      </c>
      <c r="D20" s="1" t="s">
        <v>545</v>
      </c>
    </row>
    <row r="21" spans="1:4" x14ac:dyDescent="0.25">
      <c r="A21" s="3" t="s">
        <v>533</v>
      </c>
      <c r="B21" s="3">
        <f>COUNTIFS(Responses!$C:$C,"1",Responses!$I:$I,"tam / полное")</f>
        <v>1</v>
      </c>
      <c r="C21" s="3">
        <f>COUNTIFS(Responses!$C:$C,"1",Responses!$I:$I,"kısmen / частичное")</f>
        <v>6</v>
      </c>
      <c r="D21" s="3">
        <f>COUNTIFS(Responses!$C:$C,"1",Responses!$I:$I,"uyum yok / нет")</f>
        <v>0</v>
      </c>
    </row>
    <row r="22" spans="1:4" x14ac:dyDescent="0.25">
      <c r="A22" s="3" t="s">
        <v>534</v>
      </c>
      <c r="B22" s="3">
        <f>COUNTIFS(Responses!$C:$C,"2",Responses!$I:$I,"tam / полное")</f>
        <v>2</v>
      </c>
      <c r="C22" s="3">
        <f>COUNTIFS(Responses!$C:$C,"2",Responses!$I:$I,"kısmen / частичное")</f>
        <v>5</v>
      </c>
      <c r="D22" s="3">
        <f>COUNTIFS(Responses!$C:$C,"2",Responses!$I:$I,"uyum yok / нет")</f>
        <v>0</v>
      </c>
    </row>
    <row r="23" spans="1:4" x14ac:dyDescent="0.25">
      <c r="A23" s="3" t="s">
        <v>535</v>
      </c>
      <c r="B23" s="3">
        <f>COUNTIFS(Responses!$C:$C,"3",Responses!$I:$I,"tam / полное")</f>
        <v>1</v>
      </c>
      <c r="C23" s="3">
        <f>COUNTIFS(Responses!$C:$C,"3",Responses!$I:$I,"kısmen / частичное")</f>
        <v>6</v>
      </c>
      <c r="D23" s="3">
        <f>COUNTIFS(Responses!$C:$C,"3",Responses!$I:$I,"uyum yok / нет")</f>
        <v>0</v>
      </c>
    </row>
    <row r="24" spans="1:4" x14ac:dyDescent="0.25">
      <c r="A24" s="3" t="s">
        <v>536</v>
      </c>
      <c r="B24" s="3">
        <f>COUNTIFS(Responses!$C:$C,"4",Responses!$I:$I,"tam / полное")</f>
        <v>2</v>
      </c>
      <c r="C24" s="3">
        <f>COUNTIFS(Responses!$C:$C,"4",Responses!$I:$I,"kısmen / частичное")</f>
        <v>5</v>
      </c>
      <c r="D24" s="3">
        <f>COUNTIFS(Responses!$C:$C,"4",Responses!$I:$I,"uyum yok / нет")</f>
        <v>0</v>
      </c>
    </row>
    <row r="25" spans="1:4" x14ac:dyDescent="0.25">
      <c r="A25" s="3" t="s">
        <v>537</v>
      </c>
      <c r="B25" s="3">
        <f>COUNTIFS(Responses!$C:$C,"5",Responses!$I:$I,"tam / полное")</f>
        <v>1</v>
      </c>
      <c r="C25" s="3">
        <f>COUNTIFS(Responses!$C:$C,"5",Responses!$I:$I,"kısmen / частичное")</f>
        <v>6</v>
      </c>
      <c r="D25" s="3">
        <f>COUNTIFS(Responses!$C:$C,"5",Responses!$I:$I,"uyum yok / нет")</f>
        <v>0</v>
      </c>
    </row>
    <row r="27" spans="1:4" ht="42.75" x14ac:dyDescent="0.25">
      <c r="A27" s="1" t="s">
        <v>546</v>
      </c>
    </row>
    <row r="28" spans="1:4" ht="75" customHeight="1" x14ac:dyDescent="0.25">
      <c r="A28" s="1" t="s">
        <v>528</v>
      </c>
      <c r="B28" s="1" t="s">
        <v>547</v>
      </c>
      <c r="C28" s="1" t="s">
        <v>548</v>
      </c>
      <c r="D28" s="1" t="s">
        <v>549</v>
      </c>
    </row>
    <row r="29" spans="1:4" x14ac:dyDescent="0.25">
      <c r="A29" s="3" t="s">
        <v>533</v>
      </c>
      <c r="B29" s="3">
        <f>COUNTIFS(Responses!$C:$C,"1",Responses!$J:$J,"karşıladı / отвечает")</f>
        <v>5</v>
      </c>
      <c r="C29" s="3">
        <f>COUNTIFS(Responses!$C:$C,"1",Responses!$J:$J,"kısmen karşıladı / частично")</f>
        <v>2</v>
      </c>
      <c r="D29" s="3">
        <f>COUNTIFS(Responses!$C:$C,"1",Responses!$J:$J,"alakasız / не по теме")</f>
        <v>0</v>
      </c>
    </row>
    <row r="30" spans="1:4" x14ac:dyDescent="0.25">
      <c r="A30" s="3" t="s">
        <v>534</v>
      </c>
      <c r="B30" s="3">
        <f>COUNTIFS(Responses!$C:$C,"2",Responses!$J:$J,"karşıladı / отвечает")</f>
        <v>7</v>
      </c>
      <c r="C30" s="3">
        <f>COUNTIFS(Responses!$C:$C,"2",Responses!$J:$J,"kısmen karşıladı / частично")</f>
        <v>0</v>
      </c>
      <c r="D30" s="3">
        <f>COUNTIFS(Responses!$C:$C,"2",Responses!$J:$J,"alakasız / не по теме")</f>
        <v>0</v>
      </c>
    </row>
    <row r="31" spans="1:4" x14ac:dyDescent="0.25">
      <c r="A31" s="3" t="s">
        <v>535</v>
      </c>
      <c r="B31" s="3">
        <f>COUNTIFS(Responses!$C:$C,"3",Responses!$J:$J,"karşıladı / отвечает")</f>
        <v>7</v>
      </c>
      <c r="C31" s="3">
        <f>COUNTIFS(Responses!$C:$C,"3",Responses!$J:$J,"kısmen karşıladı / частично")</f>
        <v>0</v>
      </c>
      <c r="D31" s="3">
        <f>COUNTIFS(Responses!$C:$C,"3",Responses!$J:$J,"alakasız / не по теме")</f>
        <v>0</v>
      </c>
    </row>
    <row r="32" spans="1:4" x14ac:dyDescent="0.25">
      <c r="A32" s="3" t="s">
        <v>536</v>
      </c>
      <c r="B32" s="3">
        <f>COUNTIFS(Responses!$C:$C,"4",Responses!$J:$J,"karşıladı / отвечает")</f>
        <v>7</v>
      </c>
      <c r="C32" s="3">
        <f>COUNTIFS(Responses!$C:$C,"4",Responses!$J:$J,"kısmen karşıladı / частично")</f>
        <v>0</v>
      </c>
      <c r="D32" s="3">
        <f>COUNTIFS(Responses!$C:$C,"4",Responses!$J:$J,"alakasız / не по теме")</f>
        <v>0</v>
      </c>
    </row>
    <row r="33" spans="1:7" x14ac:dyDescent="0.25">
      <c r="A33" s="3" t="s">
        <v>537</v>
      </c>
      <c r="B33" s="3">
        <f>COUNTIFS(Responses!$C:$C,"5",Responses!$J:$J,"karşıladı / отвечает")</f>
        <v>4</v>
      </c>
      <c r="C33" s="3">
        <f>COUNTIFS(Responses!$C:$C,"5",Responses!$J:$J,"kısmen karşıladı / частично")</f>
        <v>3</v>
      </c>
      <c r="D33" s="3">
        <f>COUNTIFS(Responses!$C:$C,"5",Responses!$J:$J,"alakasız / не по теме")</f>
        <v>0</v>
      </c>
    </row>
    <row r="35" spans="1:7" ht="28.5" x14ac:dyDescent="0.25">
      <c r="A35" s="1" t="s">
        <v>550</v>
      </c>
    </row>
    <row r="36" spans="1:7" ht="142.5" x14ac:dyDescent="0.25">
      <c r="A36" s="2" t="s">
        <v>551</v>
      </c>
      <c r="B36" s="3">
        <f>COUNTIF(Sentences!$L:$L,"&lt;0")</f>
        <v>0</v>
      </c>
    </row>
    <row r="38" spans="1:7" ht="42.75" x14ac:dyDescent="0.25">
      <c r="A38" s="1" t="s">
        <v>552</v>
      </c>
    </row>
    <row r="39" spans="1:7" ht="195" customHeight="1" x14ac:dyDescent="0.25">
      <c r="A39" s="1" t="s">
        <v>528</v>
      </c>
      <c r="B39" s="1" t="s">
        <v>553</v>
      </c>
      <c r="C39" s="1" t="s">
        <v>554</v>
      </c>
      <c r="D39" s="1" t="s">
        <v>555</v>
      </c>
    </row>
    <row r="40" spans="1:7" x14ac:dyDescent="0.25">
      <c r="A40" s="3" t="s">
        <v>533</v>
      </c>
      <c r="B40" s="3">
        <f>COUNTIFS(Responses!$C:$C,"1",Responses!$L:$L,"iki metni de işlemiştir / обработал оба текста")</f>
        <v>1</v>
      </c>
      <c r="C40" s="3">
        <f>COUNTIFS(Responses!$C:$C,"1",Responses!$L:$L,"metinleri hizalamamıştır / не сопоставил тексты")</f>
        <v>0</v>
      </c>
      <c r="D40" s="3">
        <f>COUNTIFS(Responses!$C:$C,"1",Responses!$L:$L,"olmayan bir fark uydurmuştur (halüsinasyon) / придумал несуществующее различие (галлюцинация)")</f>
        <v>0</v>
      </c>
    </row>
    <row r="41" spans="1:7" x14ac:dyDescent="0.25">
      <c r="A41" s="3" t="s">
        <v>534</v>
      </c>
      <c r="B41" s="3">
        <f>COUNTIFS(Responses!$C:$C,"2",Responses!$L:$L,"iki metni de işlemiştir / обработал оба текста")</f>
        <v>1</v>
      </c>
      <c r="C41" s="3">
        <f>COUNTIFS(Responses!$C:$C,"2",Responses!$L:$L,"metinleri hizalamamıştır / не сопоставил тексты")</f>
        <v>0</v>
      </c>
      <c r="D41" s="3">
        <f>COUNTIFS(Responses!$C:$C,"2",Responses!$L:$L,"olmayan bir fark uydurmuştur (halüsinasyon) / придумал несуществующее различие (галлюцинация)")</f>
        <v>0</v>
      </c>
    </row>
    <row r="42" spans="1:7" x14ac:dyDescent="0.25">
      <c r="A42" s="3" t="s">
        <v>535</v>
      </c>
      <c r="B42" s="3">
        <f>COUNTIFS(Responses!$C:$C,"3",Responses!$L:$L,"iki metni de işlemiştir / обработал оба текста")</f>
        <v>1</v>
      </c>
      <c r="C42" s="3">
        <f>COUNTIFS(Responses!$C:$C,"3",Responses!$L:$L,"metinleri hizalamamıştır / не сопоставил тексты")</f>
        <v>0</v>
      </c>
      <c r="D42" s="3">
        <f>COUNTIFS(Responses!$C:$C,"3",Responses!$L:$L,"olmayan bir fark uydurmuştur (halüsinasyon) / придумал несуществующее различие (галлюцинация)")</f>
        <v>0</v>
      </c>
    </row>
    <row r="43" spans="1:7" x14ac:dyDescent="0.25">
      <c r="A43" s="3" t="s">
        <v>536</v>
      </c>
      <c r="B43" s="3">
        <f>COUNTIFS(Responses!$C:$C,"4",Responses!$L:$L,"iki metni de işlemiştir / обработал оба текста")</f>
        <v>1</v>
      </c>
      <c r="C43" s="3">
        <f>COUNTIFS(Responses!$C:$C,"4",Responses!$L:$L,"metinleri hizalamamıştır / не сопоставил тексты")</f>
        <v>0</v>
      </c>
      <c r="D43" s="3">
        <f>COUNTIFS(Responses!$C:$C,"4",Responses!$L:$L,"olmayan bir fark uydurmuştur (halüsinasyon) / придумал несуществующее различие (галлюцинация)")</f>
        <v>0</v>
      </c>
    </row>
    <row r="44" spans="1:7" x14ac:dyDescent="0.25">
      <c r="A44" s="3" t="s">
        <v>537</v>
      </c>
      <c r="B44" s="3">
        <f>COUNTIFS(Responses!$C:$C,"5",Responses!$L:$L,"iki metni de işlemiştir / обработал оба текста")</f>
        <v>1</v>
      </c>
      <c r="C44" s="3">
        <f>COUNTIFS(Responses!$C:$C,"5",Responses!$L:$L,"metinleri hizalamamıştır / не сопоставил тексты")</f>
        <v>0</v>
      </c>
      <c r="D44" s="3">
        <f>COUNTIFS(Responses!$C:$C,"5",Responses!$L:$L,"olmayan bir fark uydurmuştur (halüsinasyon) / придумал несуществующее различие (галлюцинация)")</f>
        <v>0</v>
      </c>
    </row>
    <row r="46" spans="1:7" ht="42.75" x14ac:dyDescent="0.25">
      <c r="A46" s="1" t="s">
        <v>556</v>
      </c>
    </row>
    <row r="47" spans="1:7" ht="75" customHeight="1" x14ac:dyDescent="0.25">
      <c r="A47" s="1" t="s">
        <v>528</v>
      </c>
      <c r="B47" s="1" t="s">
        <v>302</v>
      </c>
      <c r="C47" s="1" t="s">
        <v>303</v>
      </c>
      <c r="D47" s="1" t="s">
        <v>304</v>
      </c>
      <c r="E47" s="1" t="s">
        <v>305</v>
      </c>
      <c r="F47" s="1" t="s">
        <v>306</v>
      </c>
      <c r="G47" s="1" t="s">
        <v>557</v>
      </c>
    </row>
    <row r="48" spans="1:7" x14ac:dyDescent="0.25">
      <c r="A48" s="3" t="s">
        <v>533</v>
      </c>
      <c r="B48" s="3">
        <f>SUMIFS(Sentences!$N:$N,Sentences!$C:$C,"1")</f>
        <v>1</v>
      </c>
      <c r="C48" s="3">
        <f>SUMIFS(Sentences!$O:$O,Sentences!$C:$C,"1")</f>
        <v>0</v>
      </c>
      <c r="D48" s="3">
        <f>SUMIFS(Sentences!$P:$P,Sentences!$C:$C,"1")</f>
        <v>0</v>
      </c>
      <c r="E48" s="3">
        <f>SUMIFS(Sentences!$Q:$Q,Sentences!$C:$C,"1")</f>
        <v>0</v>
      </c>
      <c r="F48" s="3">
        <f>SUMIFS(Sentences!$R:$R,Sentences!$C:$C,"1")</f>
        <v>0</v>
      </c>
      <c r="G48" s="3">
        <f>SUMIFS(Sentences!$S:$S,Sentences!$C:$C,"1")</f>
        <v>1</v>
      </c>
    </row>
    <row r="49" spans="1:7" x14ac:dyDescent="0.25">
      <c r="A49" s="3" t="s">
        <v>534</v>
      </c>
      <c r="B49" s="3">
        <f>SUMIFS(Sentences!$N:$N,Sentences!$C:$C,"2")</f>
        <v>0</v>
      </c>
      <c r="C49" s="3">
        <f>SUMIFS(Sentences!$O:$O,Sentences!$C:$C,"2")</f>
        <v>1</v>
      </c>
      <c r="D49" s="3">
        <f>SUMIFS(Sentences!$P:$P,Sentences!$C:$C,"2")</f>
        <v>0</v>
      </c>
      <c r="E49" s="3">
        <f>SUMIFS(Sentences!$Q:$Q,Sentences!$C:$C,"2")</f>
        <v>0</v>
      </c>
      <c r="F49" s="3">
        <f>SUMIFS(Sentences!$R:$R,Sentences!$C:$C,"2")</f>
        <v>0</v>
      </c>
      <c r="G49" s="3">
        <f>SUMIFS(Sentences!$S:$S,Sentences!$C:$C,"2")</f>
        <v>1</v>
      </c>
    </row>
    <row r="50" spans="1:7" x14ac:dyDescent="0.25">
      <c r="A50" s="3" t="s">
        <v>535</v>
      </c>
      <c r="B50" s="3">
        <f>SUMIFS(Sentences!$N:$N,Sentences!$C:$C,"3")</f>
        <v>7</v>
      </c>
      <c r="C50" s="3">
        <f>SUMIFS(Sentences!$O:$O,Sentences!$C:$C,"3")</f>
        <v>0</v>
      </c>
      <c r="D50" s="3">
        <f>SUMIFS(Sentences!$P:$P,Sentences!$C:$C,"3")</f>
        <v>0</v>
      </c>
      <c r="E50" s="3">
        <f>SUMIFS(Sentences!$Q:$Q,Sentences!$C:$C,"3")</f>
        <v>3</v>
      </c>
      <c r="F50" s="3">
        <f>SUMIFS(Sentences!$R:$R,Sentences!$C:$C,"3")</f>
        <v>0</v>
      </c>
      <c r="G50" s="3">
        <f>SUMIFS(Sentences!$S:$S,Sentences!$C:$C,"3")</f>
        <v>10</v>
      </c>
    </row>
    <row r="51" spans="1:7" x14ac:dyDescent="0.25">
      <c r="A51" s="3" t="s">
        <v>536</v>
      </c>
      <c r="B51" s="3">
        <f>SUMIFS(Sentences!$N:$N,Sentences!$C:$C,"4")</f>
        <v>12</v>
      </c>
      <c r="C51" s="3">
        <f>SUMIFS(Sentences!$O:$O,Sentences!$C:$C,"4")</f>
        <v>1</v>
      </c>
      <c r="D51" s="3">
        <f>SUMIFS(Sentences!$P:$P,Sentences!$C:$C,"4")</f>
        <v>0</v>
      </c>
      <c r="E51" s="3">
        <f>SUMIFS(Sentences!$Q:$Q,Sentences!$C:$C,"4")</f>
        <v>0</v>
      </c>
      <c r="F51" s="3">
        <f>SUMIFS(Sentences!$R:$R,Sentences!$C:$C,"4")</f>
        <v>0</v>
      </c>
      <c r="G51" s="3">
        <f>SUMIFS(Sentences!$S:$S,Sentences!$C:$C,"4")</f>
        <v>13</v>
      </c>
    </row>
    <row r="52" spans="1:7" x14ac:dyDescent="0.25">
      <c r="A52" s="3" t="s">
        <v>537</v>
      </c>
      <c r="B52" s="3">
        <f>SUMIFS(Sentences!$N:$N,Sentences!$C:$C,"5")</f>
        <v>2</v>
      </c>
      <c r="C52" s="3">
        <f>SUMIFS(Sentences!$O:$O,Sentences!$C:$C,"5")</f>
        <v>0</v>
      </c>
      <c r="D52" s="3">
        <f>SUMIFS(Sentences!$P:$P,Sentences!$C:$C,"5")</f>
        <v>2</v>
      </c>
      <c r="E52" s="3">
        <f>SUMIFS(Sentences!$Q:$Q,Sentences!$C:$C,"5")</f>
        <v>0</v>
      </c>
      <c r="F52" s="3">
        <f>SUMIFS(Sentences!$R:$R,Sentences!$C:$C,"5")</f>
        <v>0</v>
      </c>
      <c r="G52" s="3">
        <f>SUMIFS(Sentences!$S:$S,Sentences!$C:$C,"5")</f>
        <v>4</v>
      </c>
    </row>
    <row r="54" spans="1:7" ht="28.5" x14ac:dyDescent="0.25">
      <c r="A54" s="1" t="s">
        <v>558</v>
      </c>
    </row>
    <row r="55" spans="1:7" ht="60" customHeight="1" x14ac:dyDescent="0.25">
      <c r="A55" s="1" t="s">
        <v>559</v>
      </c>
      <c r="B55" s="1" t="s">
        <v>560</v>
      </c>
      <c r="C55" s="1" t="s">
        <v>557</v>
      </c>
    </row>
    <row r="56" spans="1:7" ht="42.75" x14ac:dyDescent="0.25">
      <c r="A56" s="2" t="s">
        <v>561</v>
      </c>
      <c r="B56" s="3">
        <f>COUNTIF(Responses!$K:$K,"evet / да")</f>
        <v>35</v>
      </c>
      <c r="C56" s="3">
        <f>COUNTA(Responses!$A:$A)-1</f>
        <v>35</v>
      </c>
    </row>
    <row r="57" spans="1:7" ht="42.75" x14ac:dyDescent="0.25">
      <c r="A57" s="2" t="s">
        <v>562</v>
      </c>
      <c r="B57" s="3">
        <f>COUNTA(Sentences!$G:$G)-1</f>
        <v>260</v>
      </c>
      <c r="C57" s="3">
        <f>COUNTA(Sentences!$A:$A)-1</f>
        <v>260</v>
      </c>
    </row>
    <row r="58" spans="1:7" ht="42.75" x14ac:dyDescent="0.25">
      <c r="A58" s="2" t="s">
        <v>563</v>
      </c>
      <c r="B58" s="3">
        <f>COUNTIF(Responses!$K:$K,"hayır / нет")</f>
        <v>0</v>
      </c>
      <c r="C58" s="3">
        <f>COUNTA(Responses!$A:$A)-1</f>
        <v>35</v>
      </c>
    </row>
  </sheetData>
  <sheetProtection sheet="1" objects="1" scenarios="1" formatColumns="0" formatRows="0"/>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Responses</vt:lpstr>
      <vt:lpstr>Sentences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Ugur Nemlioglu</cp:lastModifiedBy>
  <dcterms:modified xsi:type="dcterms:W3CDTF">2026-10-25T21:53:07Z</dcterms:modified>
</cp:coreProperties>
</file>