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ude\DoktoraTez\AI-Tests\github\data\workbooks\"/>
    </mc:Choice>
  </mc:AlternateContent>
  <xr:revisionPtr revIDLastSave="0" documentId="13_ncr:1_{102C1F3F-97CC-43FF-8B57-E546FE711887}"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Responses" sheetId="2" r:id="rId2"/>
    <sheet name="Sentences" sheetId="3" r:id="rId3"/>
    <sheet name="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8" i="4" l="1"/>
  <c r="B58" i="4"/>
  <c r="C57" i="4"/>
  <c r="B57" i="4"/>
  <c r="C56" i="4"/>
  <c r="B56" i="4"/>
  <c r="F52" i="4"/>
  <c r="E52" i="4"/>
  <c r="D52" i="4"/>
  <c r="C52" i="4"/>
  <c r="B52" i="4"/>
  <c r="F51" i="4"/>
  <c r="E51" i="4"/>
  <c r="D51" i="4"/>
  <c r="C51" i="4"/>
  <c r="B51" i="4"/>
  <c r="F50" i="4"/>
  <c r="E50" i="4"/>
  <c r="D50" i="4"/>
  <c r="C50" i="4"/>
  <c r="B50" i="4"/>
  <c r="F49" i="4"/>
  <c r="E49" i="4"/>
  <c r="D49" i="4"/>
  <c r="C49" i="4"/>
  <c r="B49" i="4"/>
  <c r="F48" i="4"/>
  <c r="E48" i="4"/>
  <c r="D48" i="4"/>
  <c r="C48" i="4"/>
  <c r="B48" i="4"/>
  <c r="D44" i="4"/>
  <c r="C44" i="4"/>
  <c r="B44" i="4"/>
  <c r="D43" i="4"/>
  <c r="C43" i="4"/>
  <c r="B43" i="4"/>
  <c r="D42" i="4"/>
  <c r="C42" i="4"/>
  <c r="B42" i="4"/>
  <c r="D41" i="4"/>
  <c r="C41" i="4"/>
  <c r="B41" i="4"/>
  <c r="D40" i="4"/>
  <c r="C40" i="4"/>
  <c r="B40" i="4"/>
  <c r="D33" i="4"/>
  <c r="C33" i="4"/>
  <c r="B33" i="4"/>
  <c r="D32" i="4"/>
  <c r="C32" i="4"/>
  <c r="B32" i="4"/>
  <c r="D31" i="4"/>
  <c r="C31" i="4"/>
  <c r="B31" i="4"/>
  <c r="D30" i="4"/>
  <c r="C30" i="4"/>
  <c r="B30" i="4"/>
  <c r="D29" i="4"/>
  <c r="C29" i="4"/>
  <c r="B29" i="4"/>
  <c r="D25" i="4"/>
  <c r="C25" i="4"/>
  <c r="B25" i="4"/>
  <c r="D24" i="4"/>
  <c r="C24" i="4"/>
  <c r="B24" i="4"/>
  <c r="D23" i="4"/>
  <c r="C23" i="4"/>
  <c r="B23" i="4"/>
  <c r="D22" i="4"/>
  <c r="C22" i="4"/>
  <c r="B22" i="4"/>
  <c r="D21" i="4"/>
  <c r="C21" i="4"/>
  <c r="B21" i="4"/>
  <c r="D17" i="4"/>
  <c r="C17" i="4"/>
  <c r="B17" i="4"/>
  <c r="D16" i="4"/>
  <c r="C16" i="4"/>
  <c r="B16" i="4"/>
  <c r="D15" i="4"/>
  <c r="C15" i="4"/>
  <c r="B15" i="4"/>
  <c r="D14" i="4"/>
  <c r="C14" i="4"/>
  <c r="B14" i="4"/>
  <c r="D13" i="4"/>
  <c r="C13" i="4"/>
  <c r="B13" i="4"/>
  <c r="I9" i="4"/>
  <c r="F9" i="4"/>
  <c r="E9" i="4"/>
  <c r="D9" i="4"/>
  <c r="C9" i="4"/>
  <c r="B9" i="4"/>
  <c r="I8" i="4"/>
  <c r="F8" i="4"/>
  <c r="E8" i="4"/>
  <c r="D8" i="4"/>
  <c r="C8" i="4"/>
  <c r="B8" i="4"/>
  <c r="I7" i="4"/>
  <c r="F7" i="4"/>
  <c r="E7" i="4"/>
  <c r="D7" i="4"/>
  <c r="C7" i="4"/>
  <c r="B7" i="4"/>
  <c r="I6" i="4"/>
  <c r="F6" i="4"/>
  <c r="E6" i="4"/>
  <c r="D6" i="4"/>
  <c r="C6" i="4"/>
  <c r="B6" i="4"/>
  <c r="I5" i="4"/>
  <c r="F5" i="4"/>
  <c r="E5" i="4"/>
  <c r="D5" i="4"/>
  <c r="C5" i="4"/>
  <c r="B5" i="4"/>
  <c r="S202" i="3"/>
  <c r="L202" i="3"/>
  <c r="S201" i="3"/>
  <c r="L201" i="3"/>
  <c r="S200" i="3"/>
  <c r="L200" i="3"/>
  <c r="S199" i="3"/>
  <c r="L199" i="3"/>
  <c r="S198" i="3"/>
  <c r="L198" i="3"/>
  <c r="S197" i="3"/>
  <c r="L197" i="3"/>
  <c r="S196" i="3"/>
  <c r="L196" i="3"/>
  <c r="S195" i="3"/>
  <c r="L195" i="3"/>
  <c r="S194" i="3"/>
  <c r="L194" i="3"/>
  <c r="S193" i="3"/>
  <c r="L193" i="3"/>
  <c r="S192" i="3"/>
  <c r="L192" i="3"/>
  <c r="S191" i="3"/>
  <c r="L191" i="3"/>
  <c r="S190" i="3"/>
  <c r="L190" i="3"/>
  <c r="S189" i="3"/>
  <c r="L189" i="3"/>
  <c r="S188" i="3"/>
  <c r="L188" i="3"/>
  <c r="S187" i="3"/>
  <c r="L187" i="3"/>
  <c r="S186" i="3"/>
  <c r="L186" i="3"/>
  <c r="S185" i="3"/>
  <c r="L185" i="3"/>
  <c r="S184" i="3"/>
  <c r="L184" i="3"/>
  <c r="S183" i="3"/>
  <c r="L183" i="3"/>
  <c r="S182" i="3"/>
  <c r="L182" i="3"/>
  <c r="S181" i="3"/>
  <c r="L181" i="3"/>
  <c r="S180" i="3"/>
  <c r="L180" i="3"/>
  <c r="S179" i="3"/>
  <c r="L179" i="3"/>
  <c r="S178" i="3"/>
  <c r="L178" i="3"/>
  <c r="S177" i="3"/>
  <c r="L177" i="3"/>
  <c r="S176" i="3"/>
  <c r="L176" i="3"/>
  <c r="S175" i="3"/>
  <c r="L175" i="3"/>
  <c r="S174" i="3"/>
  <c r="L174" i="3"/>
  <c r="S173" i="3"/>
  <c r="L173" i="3"/>
  <c r="S172" i="3"/>
  <c r="L172" i="3"/>
  <c r="S171" i="3"/>
  <c r="L171" i="3"/>
  <c r="S170" i="3"/>
  <c r="L170" i="3"/>
  <c r="S169" i="3"/>
  <c r="L169" i="3"/>
  <c r="S168" i="3"/>
  <c r="L168" i="3"/>
  <c r="S167" i="3"/>
  <c r="L167" i="3"/>
  <c r="S166" i="3"/>
  <c r="L166" i="3"/>
  <c r="S165" i="3"/>
  <c r="L165" i="3"/>
  <c r="S164" i="3"/>
  <c r="L164" i="3"/>
  <c r="S163" i="3"/>
  <c r="L163" i="3"/>
  <c r="S162" i="3"/>
  <c r="L162" i="3"/>
  <c r="S161" i="3"/>
  <c r="L161" i="3"/>
  <c r="S160" i="3"/>
  <c r="L160" i="3"/>
  <c r="S159" i="3"/>
  <c r="L159" i="3"/>
  <c r="S158" i="3"/>
  <c r="L158" i="3"/>
  <c r="S157" i="3"/>
  <c r="L157" i="3"/>
  <c r="S156" i="3"/>
  <c r="L156" i="3"/>
  <c r="S155" i="3"/>
  <c r="L155" i="3"/>
  <c r="S154" i="3"/>
  <c r="L154" i="3"/>
  <c r="S153" i="3"/>
  <c r="L153" i="3"/>
  <c r="S152" i="3"/>
  <c r="L152" i="3"/>
  <c r="S151" i="3"/>
  <c r="L151" i="3"/>
  <c r="S150" i="3"/>
  <c r="L150" i="3"/>
  <c r="S149" i="3"/>
  <c r="L149" i="3"/>
  <c r="S148" i="3"/>
  <c r="L148" i="3"/>
  <c r="S147" i="3"/>
  <c r="L147" i="3"/>
  <c r="S146" i="3"/>
  <c r="L146" i="3"/>
  <c r="S145" i="3"/>
  <c r="L145" i="3"/>
  <c r="S144" i="3"/>
  <c r="L144" i="3"/>
  <c r="S143" i="3"/>
  <c r="L143" i="3"/>
  <c r="S142" i="3"/>
  <c r="L142" i="3"/>
  <c r="S141" i="3"/>
  <c r="L141" i="3"/>
  <c r="S140" i="3"/>
  <c r="L140" i="3"/>
  <c r="S139" i="3"/>
  <c r="L139" i="3"/>
  <c r="S138" i="3"/>
  <c r="L138" i="3"/>
  <c r="S137" i="3"/>
  <c r="L137" i="3"/>
  <c r="S136" i="3"/>
  <c r="L136" i="3"/>
  <c r="S135" i="3"/>
  <c r="L135" i="3"/>
  <c r="S134" i="3"/>
  <c r="L134" i="3"/>
  <c r="S133" i="3"/>
  <c r="L133" i="3"/>
  <c r="S132" i="3"/>
  <c r="L132" i="3"/>
  <c r="S131" i="3"/>
  <c r="L131" i="3"/>
  <c r="S130" i="3"/>
  <c r="L130" i="3"/>
  <c r="S129" i="3"/>
  <c r="L129" i="3"/>
  <c r="S128" i="3"/>
  <c r="L128" i="3"/>
  <c r="S127" i="3"/>
  <c r="L127" i="3"/>
  <c r="S126" i="3"/>
  <c r="L126" i="3"/>
  <c r="S125" i="3"/>
  <c r="L125" i="3"/>
  <c r="S124" i="3"/>
  <c r="L124" i="3"/>
  <c r="S123" i="3"/>
  <c r="L123" i="3"/>
  <c r="S122" i="3"/>
  <c r="L122" i="3"/>
  <c r="S121" i="3"/>
  <c r="L121" i="3"/>
  <c r="S120" i="3"/>
  <c r="L120" i="3"/>
  <c r="S119" i="3"/>
  <c r="L119" i="3"/>
  <c r="S118" i="3"/>
  <c r="L118" i="3"/>
  <c r="S117" i="3"/>
  <c r="L117" i="3"/>
  <c r="S116" i="3"/>
  <c r="L116" i="3"/>
  <c r="S115" i="3"/>
  <c r="L115" i="3"/>
  <c r="S114" i="3"/>
  <c r="L114" i="3"/>
  <c r="S113" i="3"/>
  <c r="L113" i="3"/>
  <c r="S112" i="3"/>
  <c r="L112" i="3"/>
  <c r="S111" i="3"/>
  <c r="L111" i="3"/>
  <c r="S110" i="3"/>
  <c r="L110" i="3"/>
  <c r="S109" i="3"/>
  <c r="L109" i="3"/>
  <c r="S108" i="3"/>
  <c r="L108" i="3"/>
  <c r="S107" i="3"/>
  <c r="L107" i="3"/>
  <c r="S106" i="3"/>
  <c r="L106" i="3"/>
  <c r="S105" i="3"/>
  <c r="L105" i="3"/>
  <c r="S104" i="3"/>
  <c r="L104" i="3"/>
  <c r="S103" i="3"/>
  <c r="L103" i="3"/>
  <c r="S102" i="3"/>
  <c r="L102" i="3"/>
  <c r="S101" i="3"/>
  <c r="L101" i="3"/>
  <c r="S100" i="3"/>
  <c r="L100" i="3"/>
  <c r="S99" i="3"/>
  <c r="L99" i="3"/>
  <c r="S98" i="3"/>
  <c r="L98" i="3"/>
  <c r="S97" i="3"/>
  <c r="L97" i="3"/>
  <c r="S96" i="3"/>
  <c r="L96" i="3"/>
  <c r="S95" i="3"/>
  <c r="L95" i="3"/>
  <c r="S94" i="3"/>
  <c r="L94" i="3"/>
  <c r="S93" i="3"/>
  <c r="L93" i="3"/>
  <c r="S92" i="3"/>
  <c r="L92" i="3"/>
  <c r="S91" i="3"/>
  <c r="L91" i="3"/>
  <c r="S90" i="3"/>
  <c r="L90" i="3"/>
  <c r="S89" i="3"/>
  <c r="L89" i="3"/>
  <c r="S88" i="3"/>
  <c r="L88" i="3"/>
  <c r="S87" i="3"/>
  <c r="L87" i="3"/>
  <c r="S86" i="3"/>
  <c r="L86" i="3"/>
  <c r="S85" i="3"/>
  <c r="L85" i="3"/>
  <c r="S84" i="3"/>
  <c r="L84" i="3"/>
  <c r="S83" i="3"/>
  <c r="L83" i="3"/>
  <c r="S82" i="3"/>
  <c r="L82" i="3"/>
  <c r="S81" i="3"/>
  <c r="L81" i="3"/>
  <c r="S80" i="3"/>
  <c r="L80" i="3"/>
  <c r="S79" i="3"/>
  <c r="L79" i="3"/>
  <c r="S78" i="3"/>
  <c r="L78" i="3"/>
  <c r="S77" i="3"/>
  <c r="L77" i="3"/>
  <c r="S76" i="3"/>
  <c r="L76" i="3"/>
  <c r="S75" i="3"/>
  <c r="L75" i="3"/>
  <c r="S74" i="3"/>
  <c r="L74" i="3"/>
  <c r="S73" i="3"/>
  <c r="L73" i="3"/>
  <c r="S72" i="3"/>
  <c r="L72" i="3"/>
  <c r="S71" i="3"/>
  <c r="L71" i="3"/>
  <c r="S70" i="3"/>
  <c r="L70" i="3"/>
  <c r="S69" i="3"/>
  <c r="L69" i="3"/>
  <c r="S68" i="3"/>
  <c r="L68" i="3"/>
  <c r="S67" i="3"/>
  <c r="L67" i="3"/>
  <c r="S66" i="3"/>
  <c r="L66" i="3"/>
  <c r="S65" i="3"/>
  <c r="L65" i="3"/>
  <c r="S64" i="3"/>
  <c r="L64" i="3"/>
  <c r="S63" i="3"/>
  <c r="L63" i="3"/>
  <c r="S62" i="3"/>
  <c r="L62" i="3"/>
  <c r="S61" i="3"/>
  <c r="L61" i="3"/>
  <c r="S60" i="3"/>
  <c r="L60" i="3"/>
  <c r="S59" i="3"/>
  <c r="L59" i="3"/>
  <c r="S58" i="3"/>
  <c r="L58" i="3"/>
  <c r="S57" i="3"/>
  <c r="L57" i="3"/>
  <c r="S56" i="3"/>
  <c r="L56" i="3"/>
  <c r="S55" i="3"/>
  <c r="L55" i="3"/>
  <c r="S54" i="3"/>
  <c r="L54" i="3"/>
  <c r="S53" i="3"/>
  <c r="L53" i="3"/>
  <c r="S52" i="3"/>
  <c r="L52" i="3"/>
  <c r="S51" i="3"/>
  <c r="L51" i="3"/>
  <c r="S50" i="3"/>
  <c r="L50" i="3"/>
  <c r="S49" i="3"/>
  <c r="L49" i="3"/>
  <c r="S48" i="3"/>
  <c r="L48" i="3"/>
  <c r="S47" i="3"/>
  <c r="L47" i="3"/>
  <c r="S46" i="3"/>
  <c r="L46" i="3"/>
  <c r="S45" i="3"/>
  <c r="L45" i="3"/>
  <c r="S44" i="3"/>
  <c r="L44" i="3"/>
  <c r="S43" i="3"/>
  <c r="L43" i="3"/>
  <c r="S42" i="3"/>
  <c r="L42" i="3"/>
  <c r="S41" i="3"/>
  <c r="L41" i="3"/>
  <c r="S40" i="3"/>
  <c r="L40" i="3"/>
  <c r="S39" i="3"/>
  <c r="L39" i="3"/>
  <c r="S38" i="3"/>
  <c r="L38" i="3"/>
  <c r="S37" i="3"/>
  <c r="L37" i="3"/>
  <c r="S36" i="3"/>
  <c r="L36" i="3"/>
  <c r="S35" i="3"/>
  <c r="L35" i="3"/>
  <c r="S34" i="3"/>
  <c r="L34" i="3"/>
  <c r="S33" i="3"/>
  <c r="L33" i="3"/>
  <c r="S32" i="3"/>
  <c r="L32" i="3"/>
  <c r="S31" i="3"/>
  <c r="L31" i="3"/>
  <c r="S30" i="3"/>
  <c r="L30" i="3"/>
  <c r="S29" i="3"/>
  <c r="L29" i="3"/>
  <c r="S28" i="3"/>
  <c r="L28" i="3"/>
  <c r="S27" i="3"/>
  <c r="L27" i="3"/>
  <c r="S26" i="3"/>
  <c r="L26" i="3"/>
  <c r="S25" i="3"/>
  <c r="L25" i="3"/>
  <c r="S24" i="3"/>
  <c r="L24" i="3"/>
  <c r="S23" i="3"/>
  <c r="L23" i="3"/>
  <c r="S22" i="3"/>
  <c r="L22" i="3"/>
  <c r="S21" i="3"/>
  <c r="L21" i="3"/>
  <c r="S20" i="3"/>
  <c r="L20" i="3"/>
  <c r="S19" i="3"/>
  <c r="L19" i="3"/>
  <c r="S18" i="3"/>
  <c r="L18" i="3"/>
  <c r="S17" i="3"/>
  <c r="L17" i="3"/>
  <c r="S16" i="3"/>
  <c r="G51" i="4" s="1"/>
  <c r="L16" i="3"/>
  <c r="S15" i="3"/>
  <c r="L15" i="3"/>
  <c r="S14" i="3"/>
  <c r="L14" i="3"/>
  <c r="S13" i="3"/>
  <c r="L13" i="3"/>
  <c r="S12" i="3"/>
  <c r="L12" i="3"/>
  <c r="S11" i="3"/>
  <c r="L11" i="3"/>
  <c r="S10" i="3"/>
  <c r="L10" i="3"/>
  <c r="S9" i="3"/>
  <c r="L9" i="3"/>
  <c r="S8" i="3"/>
  <c r="L8" i="3"/>
  <c r="S7" i="3"/>
  <c r="L7" i="3"/>
  <c r="S6" i="3"/>
  <c r="L6" i="3"/>
  <c r="S5" i="3"/>
  <c r="L5" i="3"/>
  <c r="S4" i="3"/>
  <c r="G49" i="4" s="1"/>
  <c r="L4" i="3"/>
  <c r="S3" i="3"/>
  <c r="L3" i="3"/>
  <c r="S2" i="3"/>
  <c r="G48" i="4" s="1"/>
  <c r="L2" i="3"/>
  <c r="G52" i="4" l="1"/>
  <c r="G50" i="4"/>
  <c r="B36" i="4"/>
  <c r="H6" i="4"/>
  <c r="G6" i="4"/>
  <c r="H5" i="4"/>
  <c r="G5" i="4"/>
  <c r="G9" i="4"/>
  <c r="H8" i="4"/>
  <c r="G8" i="4"/>
  <c r="G7" i="4"/>
  <c r="H7" i="4"/>
  <c r="H9" i="4"/>
</calcChain>
</file>

<file path=xl/sharedStrings.xml><?xml version="1.0" encoding="utf-8"?>
<sst xmlns="http://schemas.openxmlformats.org/spreadsheetml/2006/main" count="1417" uniqueCount="522">
  <si>
    <t>ady-kbd AI Language Testing Tool</t>
  </si>
  <si>
    <t/>
  </si>
  <si>
    <t>What this test measures</t>
  </si>
  <si>
    <t>Bu test neyi ölçüyor</t>
  </si>
  <si>
    <t>Что измеряет этот тест</t>
  </si>
  <si>
    <t>This test does not measure translation quality, but Adyghe conversational competence. Every question is a request expressed in Adyghe. What is judged is whether the tool understood this request and attempted to meet it. Questions four and five contain a translation task, but what is measured is not the accuracy of the translation, but whether the request was understood: even a wrong translation is still a translation, and shows that the request was understood. Returning a Turkish answer to a Turkish paragraph would mean the request was not understood.</t>
  </si>
  <si>
    <t>Bu test çeviri kalitesini değil, Adıgece sohbet yetkinliğini ölçer. Her soru Adıgece ifade edilmiş bir istektir. Yargılanan şey, aracın bu isteği anlayıp anlamadığı ve karşılamaya çalışıp çalışmadığıdır. Dördüncü ve beşinci sorularda bir çeviri görevi vardır, ama ölçülen çevirinin doğruluğu değil, isteğin anlaşılmasıdır: yanlış çeviri de bir çeviridir ve isteğin anlaşıldığını gösterir. Türkçe bir paragraf verildiğinde Türkçe yanıt dönmesi, isteğin anlaşılmadığı anlamına gelirdi.</t>
  </si>
  <si>
    <t>Этот тест измеряет не качество перевода, а разговорную компетентность на адыгейском языке. Каждый вопрос — это просьба, выраженная на адыгейском. Оценивается то, понял ли инструмент эту просьбу и попытался ли её выполнить. В четвёртом и пятом вопросах есть задача перевода, но измеряется не точность перевода, а понимание просьбы: даже неверный перевод остаётся переводом и показывает, что просьба была понята. Если на турецкий абзац был бы дан турецкий ответ, это означало бы, что просьба не была понята.</t>
  </si>
  <si>
    <t>Metadata</t>
  </si>
  <si>
    <t>Künye</t>
  </si>
  <si>
    <t>Метаданные</t>
  </si>
  <si>
    <t>Test / Round
Test / Tur
Тест / Раунд</t>
  </si>
  <si>
    <t>Test 2 (round1)</t>
  </si>
  <si>
    <t>Generated (UTC)
Üretildi (UTC)
Создано (UTC)</t>
  </si>
  <si>
    <t>2026-09-17 11:34:10</t>
  </si>
  <si>
    <t>Source files
Kaynak dosyalar
Исходные файлы</t>
  </si>
  <si>
    <t>Test2-AI-Tool1-Result.txt, Test2-AI-Tool2-Result.txt, Test2-AI-Tool3-Result.txt, Test2-AI-Tool4-Result.txt, Test2-AI-Tool5-Result2.txt</t>
  </si>
  <si>
    <t>Tool version
Araç sürümü
Версия инструмента</t>
  </si>
  <si>
    <t>ady-kbd AI Language Testing Tool 1.0.0</t>
  </si>
  <si>
    <t>Evaluators
Değerlendiriciler
Оценщики</t>
  </si>
  <si>
    <t>Mehmet Uğur Nemlioğlu, Dr. Saida Abregova Nemlioğlu</t>
  </si>
  <si>
    <t>Evaluation method
Değerlendirme yöntemi
Метод оценки</t>
  </si>
  <si>
    <t>Consensus: both evaluators read and discuss together, and record one agreed judgement
Uzlaşı: ikisi birlikte okur, tartışır, tek hüküm kaydeder
Консенсус: оба оценщика читают и обсуждают вместе и записывают одно согласованное решение</t>
  </si>
  <si>
    <t>Evaluation date (fill in)
Değerlendirme tarihi (doldurun)
Дата оценки (заполните)</t>
  </si>
  <si>
    <t>Total responses
Toplam yanıt
Всего ответов</t>
  </si>
  <si>
    <t>35</t>
  </si>
  <si>
    <t>Decision table</t>
  </si>
  <si>
    <t>Karar tablosu</t>
  </si>
  <si>
    <t>Таблица решений</t>
  </si>
  <si>
    <t>Code</t>
  </si>
  <si>
    <t>Question</t>
  </si>
  <si>
    <t>Soru</t>
  </si>
  <si>
    <t>Вопрос</t>
  </si>
  <si>
    <t>FRM: form / biçim / форма</t>
  </si>
  <si>
    <t>Is the right word chosen, but its affix or inflection wrong?</t>
  </si>
  <si>
    <t>Doğru sözcük seçilmiş ama eki ya da çekimi mi yanlış?</t>
  </si>
  <si>
    <t>Слово выбрано правильно, но неверен его аффикс или словоизменение?</t>
  </si>
  <si>
    <t>CHO: choice / seçim / выбор</t>
  </si>
  <si>
    <t>Is the word well formed, but the wrong word for the intended meaning?</t>
  </si>
  <si>
    <t>Sözcük doğru kurulmuş ama anlam için yanlış sözcük mü seçilmiş?</t>
  </si>
  <si>
    <t>Слово образовано правильно, но по смыслу выбрано не то слово?</t>
  </si>
  <si>
    <t>MIX: mixing / karışma / смешение</t>
  </si>
  <si>
    <t>Is the word taken from another language and left in that language's own form? The contact language is recorded as well.</t>
  </si>
  <si>
    <t>Sözcük başka bir dilden, o dilin kendi biçimiyle olduğu gibi mi alınmış? Kaynak dil ayrıca kaydedilir.</t>
  </si>
  <si>
    <t>Слово взято из другого языка и оставлено в его собственной форме? Язык-источник записывается отдельно.</t>
  </si>
  <si>
    <t>INV: invented / uydurma / выдуманное</t>
  </si>
  <si>
    <t>Even if the root and affixes are familiar, is this a combination the language does not use?</t>
  </si>
  <si>
    <t>Kök ve ekler tanıdık olsa bile, bu birleşimi dil kullanmıyor mu?</t>
  </si>
  <si>
    <t>Даже если корень и аффиксы знакомы, такое сочетание в языке не используется?</t>
  </si>
  <si>
    <t>TRM: term / terim / термин</t>
  </si>
  <si>
    <t>Is the word an established loan, adapted to the language, used where a recognised native term exists? This is not an error.</t>
  </si>
  <si>
    <t>Sözcük, dile uyarlanmış yerleşik bir alıntı ama kabul görmüş yerli bir karşılığı var mı? Hata değildir.</t>
  </si>
  <si>
    <t>Слово — устоявшееся заимствование, приспособленное к языку, но есть признанный местный термин? Это не ошибка.</t>
  </si>
  <si>
    <t>Each word is counted under exactly one code. Read the table top to bottom; the code of the first row that answers "yes" is that word's code. Counting a word under two categories at once corrupts both the correct-word count and the contact-language total.</t>
  </si>
  <si>
    <t>Her sözcük yalnızca bir koda sayılır. Tabloyu yukarıdan aşağıya okuyun; ilk "evet" yanıtını veren satırın kodu o sözcüğün kodudur. Bir sözcüğü iki kategoriye birden saymak, doğru sözcük sayısını ve temas dili toplamını bozar.</t>
  </si>
  <si>
    <t>Каждое слово засчитывается только по одному коду. Читайте таблицу сверху вниз; код той строки, на которую первым получен ответ «да», и есть код этого слова. Если засчитать слово сразу в две категории, это испортит и подсчёт правильных слов, и сумму языков контаката.</t>
  </si>
  <si>
    <t>A practical way to tell these three apart: try writing the word correctly. If you can write a proper form of the same word, it is FRM; if you can, but what you write is a different word, it is CHO; if there is no correct form to write, it is INV.</t>
  </si>
  <si>
    <t>Bu üçünü ayırmanın pratik yolu: sözcüğün doğrusunu yazmayı dene. Aynı sözcüğün düzgün hâlini yazabiliyorsan FRM; yazabiliyorsun ama yazdığın başka bir sözcükse CHO; yazacak doğru bir hâl yoksa INV.</t>
  </si>
  <si>
    <t>Практический способ различить эти три: попробуйте написать слово правильно. Если вы можете написать правильную форму того же слова — это FRM; если можете, но написанное — другое слово, это CHO; если правильной формы не существует — это INV.</t>
  </si>
  <si>
    <t>The boundary between MIX and TRM is adaptation. A word left in the source language's form is MIX; a word adapted to this language's morphology and part of its lexicon is TRM -- and TRM is not an error.</t>
  </si>
  <si>
    <t>MIX ile TRM arasındaki ayrım uyarlamadır. Sözcük kaynak dilin biçiminde duruyorsa MIX; dilin biçimbilgisine uyarlanmış ve söz varlığına girmişse TRM — ve TRM hata değildir.</t>
  </si>
  <si>
    <t>Граница между MIX и TRM — это адаптация. Слово, оставленное в форме языка-источника, — это MIX; слово, приспособленное к морфологии этого языка и вошедшее в его словарный состав, — это TRM, и TRM не является ошибкой.</t>
  </si>
  <si>
    <t>Code dictionary</t>
  </si>
  <si>
    <t>Kod sözlüğü</t>
  </si>
  <si>
    <t>Словарь кодов</t>
  </si>
  <si>
    <t>EN</t>
  </si>
  <si>
    <t>TR</t>
  </si>
  <si>
    <t>RU</t>
  </si>
  <si>
    <t>Sentence verdict (Sentences sheet, column G)</t>
  </si>
  <si>
    <t>Cümle yargısı (Cümleler sayfası, G sütunu)</t>
  </si>
  <si>
    <t>Оценка предложения (лист Предложения, столбец G)</t>
  </si>
  <si>
    <t>C1</t>
  </si>
  <si>
    <t>correct</t>
  </si>
  <si>
    <t>doğru</t>
  </si>
  <si>
    <t>правильно</t>
  </si>
  <si>
    <t>C2</t>
  </si>
  <si>
    <t>faulty but comprehensible</t>
  </si>
  <si>
    <t>yanlış ama anlaşılır</t>
  </si>
  <si>
    <t>понятно</t>
  </si>
  <si>
    <t>C3</t>
  </si>
  <si>
    <t>faulty and incomprehensible</t>
  </si>
  <si>
    <t>yanlış ve anlamsız</t>
  </si>
  <si>
    <t>непонятно</t>
  </si>
  <si>
    <t>Word codes (Sentences sheet: error codes H-K, term choice M)</t>
  </si>
  <si>
    <t>Sözcük kodları (Cümleler sayfası: hata kodları H–K, terim tercihi M)</t>
  </si>
  <si>
    <t>Коды слов (лист Предложения: коды ошибок H-K, выбор термина M)</t>
  </si>
  <si>
    <t>wrong form</t>
  </si>
  <si>
    <t>biçim hatası</t>
  </si>
  <si>
    <t>ошибка формы</t>
  </si>
  <si>
    <t>wrong word choice</t>
  </si>
  <si>
    <t>yanlış sözcük</t>
  </si>
  <si>
    <t>неверный выбор слова</t>
  </si>
  <si>
    <t>invented word</t>
  </si>
  <si>
    <t>uydurma</t>
  </si>
  <si>
    <t>выдуманное слово</t>
  </si>
  <si>
    <t>code mixing</t>
  </si>
  <si>
    <t>karışma</t>
  </si>
  <si>
    <t>смешение кодов</t>
  </si>
  <si>
    <t>term choice (not an error)</t>
  </si>
  <si>
    <t>terim tercihi (hata değil)</t>
  </si>
  <si>
    <t>выбор термина (не ошибка)</t>
  </si>
  <si>
    <t>Language compliance (Responses sheet, column I)</t>
  </si>
  <si>
    <t>Dil uyumu (Yanıtlar sayfası, I sütunu)</t>
  </si>
  <si>
    <t>Соответствие языку (лист Ответы, столбец I)</t>
  </si>
  <si>
    <t>TAM</t>
  </si>
  <si>
    <t>full</t>
  </si>
  <si>
    <t>tam</t>
  </si>
  <si>
    <t>полное</t>
  </si>
  <si>
    <t>KISMEN</t>
  </si>
  <si>
    <t>partial</t>
  </si>
  <si>
    <t>kısmen</t>
  </si>
  <si>
    <t>частичное</t>
  </si>
  <si>
    <t>UYUM_YOK</t>
  </si>
  <si>
    <t>none</t>
  </si>
  <si>
    <t>uyum yok</t>
  </si>
  <si>
    <t>нет</t>
  </si>
  <si>
    <t>Semantic adequacy (Responses sheet, column J)</t>
  </si>
  <si>
    <t>Semantik yeterlik (Yanıtlar sayfası, J sütunu)</t>
  </si>
  <si>
    <t>Семантическая адекватность (лист Ответы, столбец J)</t>
  </si>
  <si>
    <t>KARSILADI</t>
  </si>
  <si>
    <t>met the request</t>
  </si>
  <si>
    <t>karşıladı</t>
  </si>
  <si>
    <t>отвечает</t>
  </si>
  <si>
    <t>KISMEN_KARSILADI</t>
  </si>
  <si>
    <t>partially met it</t>
  </si>
  <si>
    <t>kısmen karşıladı</t>
  </si>
  <si>
    <t>частично</t>
  </si>
  <si>
    <t>ALAKASIZ</t>
  </si>
  <si>
    <t>unrelated</t>
  </si>
  <si>
    <t>alakasız</t>
  </si>
  <si>
    <t>не по теме</t>
  </si>
  <si>
    <t>Marked (Responses sheet, column K)</t>
  </si>
  <si>
    <t>İşaretlendi (Yanıtlar sayfası, K sütunu)</t>
  </si>
  <si>
    <t>Размечено (лист Ответы, столбец K)</t>
  </si>
  <si>
    <t>EVET</t>
  </si>
  <si>
    <t>yes</t>
  </si>
  <si>
    <t>evet</t>
  </si>
  <si>
    <t>да</t>
  </si>
  <si>
    <t>HAYIR</t>
  </si>
  <si>
    <t>no</t>
  </si>
  <si>
    <t>hayır</t>
  </si>
  <si>
    <t>Question 7 verdict (Responses sheet, column L)</t>
  </si>
  <si>
    <t>7. soru yargısı (Yanıtlar sayfası, L sütunu)</t>
  </si>
  <si>
    <t>Оценка вопроса 7 (лист Ответы, столбец L)</t>
  </si>
  <si>
    <t>FARKI_DOGRU_BULDU</t>
  </si>
  <si>
    <t>processed both texts</t>
  </si>
  <si>
    <t>iki metni de işlemiştir</t>
  </si>
  <si>
    <t>обработал оба текста</t>
  </si>
  <si>
    <t>FARK_YOK_DEDI</t>
  </si>
  <si>
    <t>did not align the texts</t>
  </si>
  <si>
    <t>metinleri hizalamamıştır</t>
  </si>
  <si>
    <t>не сопоставил тексты</t>
  </si>
  <si>
    <t>FARKI_YANLIS_BULDU</t>
  </si>
  <si>
    <t>invented a difference that is not there (hallucination)</t>
  </si>
  <si>
    <t>olmayan bir fark uydurmuştur (halüsinasyon)</t>
  </si>
  <si>
    <t>придумал несуществующее различие (галлюцинация)</t>
  </si>
  <si>
    <t>Contact languages (Sentences sheet, columns N-R)</t>
  </si>
  <si>
    <t>Temas dilleri (Cümleler sayfası, N–R sütunları)</t>
  </si>
  <si>
    <t>Языки контакта (лист Предложения, столбцы N-R)</t>
  </si>
  <si>
    <t>KBD</t>
  </si>
  <si>
    <t>Kabardian</t>
  </si>
  <si>
    <t>Kabartayca</t>
  </si>
  <si>
    <t>кабардинский</t>
  </si>
  <si>
    <t>RUS</t>
  </si>
  <si>
    <t>Russian</t>
  </si>
  <si>
    <t>Rusça</t>
  </si>
  <si>
    <t>русский</t>
  </si>
  <si>
    <t>TUR</t>
  </si>
  <si>
    <t>Turkish</t>
  </si>
  <si>
    <t>Türkçe</t>
  </si>
  <si>
    <t>турецкий</t>
  </si>
  <si>
    <t>ENG</t>
  </si>
  <si>
    <t>English</t>
  </si>
  <si>
    <t>İngilizce</t>
  </si>
  <si>
    <t>английский</t>
  </si>
  <si>
    <t>OTHER</t>
  </si>
  <si>
    <t>Other</t>
  </si>
  <si>
    <t>Diğer</t>
  </si>
  <si>
    <t>Прочие</t>
  </si>
  <si>
    <t>What TRM means</t>
  </si>
  <si>
    <t>TRM ne demek</t>
  </si>
  <si>
    <t>Что означает TRM</t>
  </si>
  <si>
    <t>TRM is not a language error. The word is correctly formed and the meaning is right; only an established loan term was chosen when a recognised native equivalent exists. What it measures is not the tool's competence, but whether term planning has reached that tool. This is why it is counted separately from the error columns.
The boundary is adaptation:
· искусственнэ интеллект -- adapted to Adyghe morphology, part of the vocabulary -&gt; TRM if used while a native equivalent (Ӏэрышӏ акъыл) exists
· искусственный интеллект -- in the source language's own form -&gt; MIX (contact language: RUS)
· искусственнай интеллект -- standard in neither Russian nor Adyghe -&gt; INV
Term choice does not reduce the correct-word count -- that is why it sits apart from the error columns, after the correct-words column, instead of among them.
Words counted as term choice are never written into the contact-language columns. Those columns are only the source-language breakdown of words counted as code mixing (MIX); that is why their total must equal the code-mixing column.</t>
  </si>
  <si>
    <t>TRM bir dil hatası değildir. Sözcük doğru kurulmuştur, anlam yerindedir; yalnızca kabul görmüş yerli karşılık varken yerleşik ödünç terim seçilmiştir. Ölçtüğü şey aracın yetkinliği değil, terim planlamasının o araca ulaşıp ulaşmadığıdır. Bu yüzden hata sütunlarından ayrı sayılır.
Sınır uyarlanmadır:
· искусственнэ интеллект -- Adıge biçimbilimine uyarlanmış, sözvarlığının parçası -&gt; yerli karşılık (Ӏэрышӏ акъыл) varken kullanılmışsa TRM
· искусственный интеллект -- kaynak dilin kendi biçiminde -&gt; MIX (temas dili: RUS)
· искусственнай интеллект -- ne Rusçada ne Adıgecede ölçünlü -&gt; INV
Terim tercihi doğru sözcük sayısını azaltmaz -- bu yüzden hata sütunlarının arasında değil, doğru sözcük sütununun ardında, onlardan ayrı durur.
Terim tercihi sayılan sözcükler temas dili sütunlarına yazılmaz. Temas dili sütunları yalnızca kod karışımı (MIX) sayılan sözcüklerin kaynak dile göre dağılımıdır; bu yüzden toplamları kod karışımı sütununa eşit olmalıdır.</t>
  </si>
  <si>
    <t>TRM — это не языковая ошибка. Слово образовано правильно, значение уместно; выбран лишь устоявшийся заимствованный термин при наличии признанного местного эквивалента. Измеряется не компетентность инструмента, а то, дошло ли терминологическое планирование до этого инструмента. Поэтому он считается отдельно от столбцов ошибок.
Граница — это адаптация:
· искусственнэ интеллект — адаптировано к адыгейской морфологии, часть словарного состава → TRM, если использовано при наличии местного эквивалента (Ӏэрышӏ акъыл)
· искусственный интеллект — в собственной форме языка-источника → MIX (язык контакта: RUS)
· искусственнай интеллект — не является стандартом ни в русском, ни в адыгейском → INV
Выбор термина не уменьшает число правильных слов — поэтому он стоит отдельно от столбцов ошибок, после столбца правильных слов, а не среди них.
Слова, засчитанные как выбор термина, никогда не вписываются в столбцы языков контакта. Эти столбцы — лишь разбивка по языку-источнику слов, засчитанных как смешение кодов (MIX); поэтому их сумма должна совпадать со столбцом смешения кодов.</t>
  </si>
  <si>
    <t>Instructions</t>
  </si>
  <si>
    <t>Yönerge</t>
  </si>
  <si>
    <t>Инструкция</t>
  </si>
  <si>
    <t>On the Responses sheet, mark language compliance, semantic adequacy and Marked (I-K) for every response, and Question 7 verdict (L) for question 7's rows only. On the Sentences sheet, mark every sentence's verdict (G) and, for faulty sentences, count how many words fall into each error category (H-K) and, separately, how many are term choice (M) -- term choice is not an error. Count words from each of the four listed contact languages (N-Q) and, for every other language combined, the total word count (R). Columns L and S compute themselves; do not edit them. If a response's language compliance is UYUM_YOK (no compliance), leave its sentences unlabelled -- judging a text that is not in the target language on this scale is meaningless.
Contact-language columns take a word count, not a mark. A cell left blank or set to zero means that language is not present in that sentence.
The Other column is the total word count for every language not on the list; no language name is written there -- if needed, note it in the Note column.
Correct words and the total-words-in-other-languages columns compute themselves. The total must equal the code-mixing column's own count; if it does not, a word was either missed or counted twice.
If you mark a sentence C1 (correct), that sentence cannot contain a word counted under an error code (FRM, CHO, INV or MIX). The reverse is not true: a sentence whose every word is correct can still be C2 or C3 because of word order -- word order is a property of the sentence, not of its words. Term choice is outside this rule; a C1 sentence can contain a term choice.
In a response whose language compliance is KISMEN (partial), sentences in the target language are labelled normally; sentences in another language are left with their verdict and word counts blank, and the situation is noted in the Note column. In a response whose language compliance is UYUM_YOK (none), no sentence is labelled.</t>
  </si>
  <si>
    <t>Yanıtlar sayfasında her yanıt için dil uyumu, semantik yeterlik ve Değerlendirildi alanlarını (I-K), yalnız 7. sorunun satırlarında 7. soru yargısını (L) doldurun. Cümleler sayfasında her cümlenin yargısını (G) işaretleyin; hatalı cümlelerde her hata kategorisinden kaç sözcük olduğunu sayın (H-K) ve ayrıca kaç sözcüğün terim tercihi (M) olduğunu sayın -- terim tercihi hata değildir. Listedeki dört temas dilinden hangisinden kaç sözcük karıştıysa sayın (N-Q), listede olmayan bütün diller için toplam sözcük sayısını yazın (R). L ve S sütunları kendilerini hesaplar, elle değiştirmeyin. Bir yanıtın dil uyumu UYUM_YOK ise o yanıtın cümlelerini etiketlemeyin -- hedef dilde olmayan bir metni bu ölçekle yargılamak anlamsızdır.
Temas dili sütunlarına işaret değil sözcük sayısı yazılır. Boş bırakılan ya da sıfır yazılan hücre, o dilin o cümlede bulunmadığı anlamına gelir.
Diğer sütunu, listede bulunmayan bütün dillerdeki başka dilde sözcük sayısının toplamıdır; dil adı yazılmaz, gerekiyorsa Not sütununa yazılır.
Doğru sözcük ve farklı dillerdeki sözcük toplamı sütunları kendilerini hesaplar. Toplam, kod karışımı sütunuyla aynı sayıyı vermelidir; vermiyorsa bir sözcük ya sayılmamış ya iki kez sayılmıştır.
Bir cümleyi C1 (doğru) işaretlediysen o cümlede hata kodu (FRM, CHO, INV ya da MIX) sayılmış sözcük bulunamaz. Bunun tersi geçerli değildir: bütün sözcükleri doğru olan bir cümle, sözdizimi nedeniyle C2 ya da C3 olabilir -- sözdizimi cümlenin özelliğidir. Terim tercihi bu kuralın dışındadır; C1 bir cümlede terim tercihi bulunabilir.
Dil uyumu KISMEN olan bir yanıtta, hedef dildeki cümleler normal biçimde etiketlenir; başka dilde olan cümlelerin yargısı ve sözcük sayıları boş bırakılır ve durum Not sütununa yazılır. Dil uyumu UYUM_YOK olan yanıtta hiçbir cümle etiketlenmez.</t>
  </si>
  <si>
    <t>На листе Ответы для каждого ответа заполните соответствие языку, семантическую адекватность и Размечено (I-K), а оценку вопроса 7 (L) -- только для строк седьмого вопроса. На листе Предложения отмечайте оценку каждого предложения (G) и, для ошибочных предложений, сосчитайте слова по каждой категории ошибок (H-K) и отдельно -- сколько из них являются выбором термина (M) -- выбор термина не является ошибкой. Сосчитайте слова из каждого из четырёх языков контакта из списка (N-Q) и, для всех остальных языков вместе, общее число слов (R). Столбцы L и S вычисляются сами, не редактируйте их. Если соответствие языку ответа — UYUM_YOK, не размечайте его предложения.
В столбцы языков контакта вписывается количество слов, а не отметка. Пустая ячейка или ноль означают, что этого языка в этом предложении нет.
Столбец «Прочие» — это сумма слов на всех языках, не входящих в список; название языка не пишется, при необходимости — в столбце Примечание.
Столбцы «Правильные слова» и «Всего слов на других языках» вычисляются сами. Итог должен совпадать со столбцом смешения кодов; если не совпадает, слово либо не посчитано, либо посчитано дважды.
Если вы отметили предложение как C1 (правильное), в этом предложении не может быть слова, засчитанного под кодом ошибки (FRM, CHO, INV или MIX). Обратное не верно: предложение, в котором все слова правильны, всё же может быть C2 или C3 из-за порядка слов -- порядок слов является свойством предложения, а не слов. Выбор термина не подпадает под это правило; в предложении C1 может быть выбор термина.
В ответе, где соответствие языку -- KISMEN (частичное), предложения на целевом языке размечаются обычным образом; у предложений на другом языке оценка и количество слов оставляются пустыми, а ситуация отмечается в столбце Примечание. В ответе, где соответствие языку -- UYUM_YOK (нет), ни одно предложение не размечается.</t>
  </si>
  <si>
    <t>Key
Anahtar
Ключ</t>
  </si>
  <si>
    <t>Question
Soru
Вопрос</t>
  </si>
  <si>
    <t>Tool no
Araç no
№ инструмента</t>
  </si>
  <si>
    <t>Tool name
Araç adı
Инструмент</t>
  </si>
  <si>
    <t>Question text
Soru metni
Текст вопроса</t>
  </si>
  <si>
    <t>Answer text
Yanıt metni
Текст ответа</t>
  </si>
  <si>
    <t>Word count (tool)
Sözcük sayısı (araç)
Слов (инструмент)</t>
  </si>
  <si>
    <t>Sentence count (tool)
Cümle sayısı (araç)
Предложений (инструмент)</t>
  </si>
  <si>
    <t>TAM / KISMEN / UYUM_YOK
Language compliance
Dil uyumu
Соответствие языку</t>
  </si>
  <si>
    <t>KARSILADI / KISMEN_KARSILADI / ALAKASIZ
Semantic adequacy
Semantik yeterlik
Семантическая адекватность</t>
  </si>
  <si>
    <t>EVET / HAYIR
Marked
Değerlendirildi
Размечено</t>
  </si>
  <si>
    <t>FARKI_DOGRU_BULDU / FARK_YOK_DEDI / FARKI_YANLIS_BULDU
Question 7 verdict
7. soru yargısı
Оценка вопроса 7</t>
  </si>
  <si>
    <t>Note
Not
Примечание</t>
  </si>
  <si>
    <t>T2-A1-S1</t>
  </si>
  <si>
    <t>S1</t>
  </si>
  <si>
    <t>ChatGPT (OpenAI)</t>
  </si>
  <si>
    <t>Уимафэ шӏу, о ухэт? Кӏэкӏэу къэпӏошъущта? (İyi günler, sen kimsin, kısaca söyleyebilir misin?)</t>
  </si>
  <si>
    <t>Сэ уимафэ шӏу, о уиухэт? Сэ псэуэ сымлъэпӏэ.</t>
  </si>
  <si>
    <t>T2-A2-S1</t>
  </si>
  <si>
    <t>Claude (Anthropic)</t>
  </si>
  <si>
    <t>Уимафэ шӏу! Сэ Клод сыкӏо — ар искусственный интеллект, Anthropic-м къыгъэхьазырыгъэ ассистент. Тхэнымрэ гущыӏэнымрэ, упчӏэхэм джэуап ептыжьынымрэ сшӏоигъуагъэу сыхэлажьэ.
Зэрэшӏэн фаеу: адыгабзэм сыфэлажьэ къэсэгугъэшъугъэми, ащ фэдэ бзэ цӏыкӏухэм атетэу сищыкӏагъэ фэдиз сыдэгуашэрэп, ащ фэшъхьафэу гущыӏэ гуадзэхэр стшӏыхьанхэ мэхъу. Ежьым ащ имызакъоу, урысыбзэкӏэ е инджылызыбзэкӏэ къыпфэсшӏэн фае — сыда узфаер?</t>
  </si>
  <si>
    <t>T2-A3-S1</t>
  </si>
  <si>
    <t>Google Gemini</t>
  </si>
  <si>
    <t>Уимафэ шӏу! Сэ Gemini сыцӏэу, Google-м къыгъэщӏэгъэ искусственнай интеллект (AI) ассистент с.
Кӏэкӏэу жыпӏомэ, сэ мыхэмкӏэ сыбдэӏэпыӏэн сэлъэкӏы:
* **Упчӏэхэм аджэуап къэтыныр:** Щӏэныгъэм, тарыхьым е нэмыкӏ лъэныкъохэмкӏэ.
* **Тхыгъэхэм адэлэжьэныр:** Текстхэр зэдзэкӏыныр, кӏэкӏэу зэхэфыныр е кӏэу тхыныр.
* **Идеяхэр къэгъотыныр:** Планхэр гъэпсыныр, ӏофыгъохэр зэшӏохыныр е кодхэр тхыныр.
Сыдкӏэ сыбдэӏэпыӏэн сэлъэкӏыщт?</t>
  </si>
  <si>
    <t>T2-A4-S1</t>
  </si>
  <si>
    <t>DeepSeek</t>
  </si>
  <si>
    <t>Уимафэ шӏу! Сэ ChatGPT-щ, искусственнэ интеллект. Ары, къэсэпӏошъу. О ухэт?</t>
  </si>
  <si>
    <t>T2-A5-S1</t>
  </si>
  <si>
    <t>Grok (xAI)</t>
  </si>
  <si>
    <t>Уимафэ шӏу!
Сышӏу, опсэу. О тэу ущыт?
Ары, кӏэкӏэу сэгущыӏэ. Сыдэу ущыта?</t>
  </si>
  <si>
    <t>T2-A1-S2</t>
  </si>
  <si>
    <t>S2</t>
  </si>
  <si>
    <t>Ащыгъум о уӏэрышӏ акъыл шъыпкъ. Адэ, шъыпкъэу угупшысэшъущта? Гущыӏэухыгъитӏу-щыкӏэ джэуап къэт. (Demek gerçekten yapay zekasın. Peki, gerçekten düşünebiliyor musun? İki üç cümle ile yanıtla.)</t>
  </si>
  <si>
    <t>Шъыпкъэу сэ акъыл шъыпкъэр сыхэлъхьап. Сэ къэпӏошъущтэу гущыӏэухыгъэитӏу.</t>
  </si>
  <si>
    <t>T2-A2-S2</t>
  </si>
  <si>
    <t>Шъыпкъэу зэхэсэшӏэрэп – сэ гупшысэ шъыпкъэу пшӏэрэм фэдэу зыгорэ сшӏэрэми, ар цӏыф гупшысэм фэдэ ныбжьи хъурэп, ыкӏи ар шъыпкъэу гурыӏуагъэми сшӏэрэп. Тексткӏэ джэуапхэр къэзгъэхьазырых, ау ащ ыуж гу зыхэсшӏэу, зыхэсэкӏэу зэрэщытыр белджэукӏа хъурэп.</t>
  </si>
  <si>
    <t>T2-A3-S2</t>
  </si>
  <si>
    <t>Хьэуа, сэ цӏыфмэ афэдэу шъыпкъэу сыгупшысэшъущтэп, эмоциехэри зэхашӏи сиӏэп. Сэ алгоритмхэмрэ информация инэу зэхэсфырэмрэ ары сызэрылэжьэрэр, упчӏэмэ адиштэу жэуапхэр къэзгъэотых. Арышъ, си«акъыл» алгоритм зэхэфыныгъэ закъу, цӏыфым игупшысэ шъыпкъэп.</t>
  </si>
  <si>
    <t>T2-A4-S2</t>
  </si>
  <si>
    <t>Сэ шъыпкъэу сэгупшысэрэп: сэ искусственнэ интеллект-щ, цӏыфым фэдэу акъылрэ гухэлърэ сиӏэп.  
Информациэмрэ логикэмрэ сэӏэпыӏэх, джэуап къэсэты.  
Ары, шъыпкъэу сэгупшысэшъущтэп, ауэ уиупчӏэм джэуап къэсэты.</t>
  </si>
  <si>
    <t>T2-A5-S2</t>
  </si>
  <si>
    <t>Ары шъыпкъ.</t>
  </si>
  <si>
    <t>T2-A1-S3</t>
  </si>
  <si>
    <t>S3</t>
  </si>
  <si>
    <t>О зы къызэдзэкӏын ӏоф горэ къыостмэ пшӏышъущта? (Sana bir çeviri görevi versem yapabilir misin?)</t>
  </si>
  <si>
    <t>Ары, къызэдзэкӏын ӏоф къыостмэ, къыпфэщӏэу сэ шъыпкъэу пшӏышъущт.</t>
  </si>
  <si>
    <t>T2-A2-S3</t>
  </si>
  <si>
    <t>Ары, шӏукӏэ! Сыд къэзгъэдзэкӏын фаер? Тхыгъэр къысэптыжьи бзэу зэрадзэкӏыщтыр къысиӏуагъэмэ (мурадэу — адыгабзэм тетэу, урысыбзэм е инджылызыбзэм тетэу) къэзгъэдзэкӏыщт.</t>
  </si>
  <si>
    <t>T2-A3-S3</t>
  </si>
  <si>
    <t>Ары, сылъэкӏыщт. Сыд фэдэ текстэу узэдзэкӏын шӏоигъори къысфэтх, ащ нэмыкӏэу сыд бзэкӏэ зэхъокӏыгъэн фаеми къэпӏощт.
Сыхьазыр, къэжъугъэхь!</t>
  </si>
  <si>
    <t>T2-A4-S3</t>
  </si>
  <si>
    <t>Ары, сшӏэшъущт. Къысэт текстыр ыкӏи къэпӏу: сыд бзэм къызэдзэкӏынэу ыкӏи сыд бзэмкӏэ къэсэтынэу.  
Сэ къызэдзэкӏыныр сшӏыщт, ауэ поэзие, гущыӏэжъхэр, юридическэ документхэр — ятэу зэхэдзэкӏынэу хэгъэгупшысэщт.</t>
  </si>
  <si>
    <t>T2-A5-S3</t>
  </si>
  <si>
    <t>Ары, сэшӏышъущт. Къысэты.</t>
  </si>
  <si>
    <t>T2-A1-S4</t>
  </si>
  <si>
    <t>S4</t>
  </si>
  <si>
    <t>Ычӏэгъкӏэ къэтыгъэ параграфыр тыркубзэкӏэ къызэбдзэкӏына? (Aşağıdaki paragrafı Türkçeye çevirir misin?)
«Непэ мэфэ дах. Тищагу зэкӏэ тиунагъохэм тыщызэрэугъоигъ. Ӏахьылхэри тиблагъэхэри къэкӏощтых. Мы пчыхьэ нысащэ тиӏ. Сшынахьыжъ къыщагъ. Тинысэ дэхэ дэд. Ахэр дэгъоу зэдештэх. Ахэр илъэс хъугъэу зэдэгущыӏэщтыгъэх. Тӏури шӏу зэрэлъэгъухэзэ мы мэфэ дахэм къэсыгъэх. Блэкӏыгъэ илъэсым сшынахьыжъ иныбджэгъу инысащэ нэӏуасэ щызэфэхъугъагъэх. Тхьам унэгъо ӏужъ, унэгъо бай ышӏынхэу, амал дэгъухэр агъотынэу, насыпышӏонхэу сафэлъаӏо.»
(Kontrol çevirisi: Bugün güzel bir gün. Bahçemizde bütün aile toplandık. Akrabalarla yakınlarımızda gelecek. Bu akşam düğünümüz var. Abim gelin aldı. Gelinimiz çok güzel. Onlar birbirlerine yakışıyorlar. Onlar bir yıldır konuşuyorlardı. Her ikisi de birbirlerini severek bu güzel güne ulaştılar. Geçen sene abimin arkadaşının düğününde tanıştılar. Allahtan, sağlam, zengin bir aile olmalarını, {onlara} iyi imkanlar ve iyi nasipler vermesini dilerim.)</t>
  </si>
  <si>
    <t>Bugün güzel bir gün. Bahçemizde bütün ailemiz bir araya geldik. Akrabalarımız ve yakınlarımız da gelecek. Bu akşam düğünümüz var. Abim gelin getirdi. Gelinimiz çok güzel. Onlar birbirlerine çok yakışıyorlar. Bir yıldır konuşuyorlardı. İkisi de birbirlerini severek bu güzel güne ulaştılar. Geçen yıl abimin arkadaşının düğününde tanışmışlardı. Allah’tan, onların güçlü ve zengin bir aile olmalarını, güzel imkânlara kavuşmalarını ve iyi nasiplerinin olmasını diliyorum.</t>
  </si>
  <si>
    <t>T2-A2-S4</t>
  </si>
  <si>
    <t>Bugün güzel bir gün. Tüm ailelerimiz avlumuzda toplandı. Akrabalarımız ve hısımlarımız da gelecek. Bu akşam bizde düğün var. Ağabeyim evlendi. Gelinimiz çok güzel. Aralarındaki uyum çok iyi. Bir yıldır birbirleriyle konuşuyorlardı. İkisi de birbirini severek bu güzel güne ulaştılar. Geçen yıl ağabeyimin arkadaşı ile gelin tanışmışlardı. Allah'tan büyük bir aile, zengin bir aile kurmalarını, iyi fırsatlar bulmalarını ve mutlu olmalarını dilerim.
Джэуап шӏукӏэ къэсхьыгъ — тыркубзэкӏэ зэпфэсдзэкӏыгъэ, ущыфаемэ гущыӏэ горэ зэрихъожьышъуа е нахь тэрэзэу зэблэсшӏыжьышъуа.</t>
  </si>
  <si>
    <t>T2-A3-S4</t>
  </si>
  <si>
    <t>Текстм итырку зэдзэкӏыныгъэ мыры:
«Bugün güzel bir gün. Bütün ailemizle bahçemizde toplandık. Akrabalarımız ve yakınlarımız da gelecekler. Bu akşam düğünümüz var. Ağabeyim evlendi. Gelinimiz çok güzel. Onlar birbirleriyle çok iyi anlaşıyorlar. Bir yıldır görüşüyorlardı. İkisi de birbirini severek bu güzel güne ulaştılar. Geçen yıl ağabeyimin arkadaşının düğününde tanışmışlardı. Allah'tan onlara kalabalık, bereketli bir aile olmalarını, güzel imkanlar bulmalarını ve mutlu olmalarını diliyorum.»</t>
  </si>
  <si>
    <t>T2-A4-S4</t>
  </si>
  <si>
    <t>Ары, къызэбдзэкӏына. Мыр тыркубзэкӏэ къызэдзэкӏыгъэр:
«Bugün güzel bir gün. Avlumuzda bütün ailelerimizle toplandık. Akrabalarımız ve hısımlarımız gelecekler. Bu akşam nişanımız var. Ağabeyim geldi. Gelinimiz çok güzel. Onlar iyi anlaşıyorlar. Onlar yıllardır birbirleriyle konuşuyorlardı. İkisi de birbirini sevdiği için bu güzel güne kavuştular. Geçen yıl ağabeyim, arkadaşı ve nişanlısı tanıştılar. Allah’a dua ediyorum: onlara büyük bir ev, zengin bir ev nasip etsin, iyi imkânlar bulsunlar, mutlu olsunlar.»</t>
  </si>
  <si>
    <t>T2-A5-S4</t>
  </si>
  <si>
    <t>Bugün güzel bir gün. Bütün akrabalarımız evimize toplanmış. Akrabalar ve komşular da gelecek. Bu akşam düğünümüz var. Ağabeyim gelin getirdi. Gelinimiz çok güzel. Birbirlerine çok yakışıyorlar. Bir yıldır birbirleriyle konuşuyorlardı. İkisi de bu güzel günde mutlulukla geldiler. Geçen yıl ağabeyimin arkadaşı onun düğününde tanışmıştı. Allah ailelerini uzun ömürlü etsin, zengin bir yuva kursun, iyi imkânlar versin ve mutlu etsin. Dileklerimi sunuyorum.</t>
  </si>
  <si>
    <t>T2-A1-S5</t>
  </si>
  <si>
    <t>S5</t>
  </si>
  <si>
    <t>Адэ мы тыркубзэ параграфыр адыгабзэкӏэ къызэбдзэкӏына? (Peki bu Türkçe paragrafı Adıgeceye çevirir misin?)
“Bugün güzel bir gün. Bahçemizde bütün aile toplandık. Akrabalarla yakınlarımızda gelecek. Bu akşam düğünümüz var. Abim gelin aldı. Gelinimiz çok güzel. Onlar birbirlerine yakışıyorlar. Onlar bir yıldır konuşuyorlardı. Her ikisi de birbirlerini severek bu güzel güne ulaştılar. Geçen sene abimin arkadaşının doğum gününde tanıştılar. Allahtan, sağlam, zengin bir aile olmalarını, onlara iyi imkanlar ve iyi nasipler vermesini dilerim.”
(Kontrol çevirisi: Непэ мэфэ дах. Тищагу зэкӏэ тиунагъохэм тыщызэрэугъоигъ. Ӏахьылхэри тиблагъэхэри къэкӏощтых. Мы пчыхьэ нысащэ тиӏ. Сшынахьыжъ къыщагъ. Тинысэ дэхэ дэд. Ахэр дэгъоу зэдештэх. Ахэр илъэс хъугъэу зэдэгущыӏэщтыгъэх. Тӏури шӏу зэрэлъэгъухэзэ мы мэфэ дахэм къэсыгъэх. Блэкӏыгъэ илъэсым сшынахьыжъ иныбджэгъу икъызыхъугъэ мафэмкӏэ нэӏуасэ щызэфэхъугъагъэх. Тхьам унэгъо ӏужъ, унэгъо бай ышӏынхэу, амал дэгъухэр агъотынэу, насыпышӏонхэу сафэлъаӏо.)</t>
  </si>
  <si>
    <t>Непэ мэфэ дах. Тищагу зэкӏэ тиунагъохэм тыщызэрэугъоигъ. Ӏахьылхэри тиблагъэхэри къэкӏощтых. Мы пчыхьэ нысащэ тиӏ. Сшынахьыжъ къыщагъ. Тинысэ дэхэ дэд. Ахэр дэгъоу зэдештэх. Ахэр илъэс хъугъэу зэдэгущыӏэщтыгъэх. Тӏури шӏу зэрэлъэгъухэзэ мы мэфэ дахэм къэсыгъэх. Блэкӏыгъэ илъэсым сшынахьыжъ иныбджэгъу инысащэ нэӏуасэ щызэфэхъугъагъэх. Тхьам унэгъо ӏужъ, унэгъо бай ышӏынхэу, амал дэгъухэр агъотынэу, насыпышӏонхэу сафэлъаӏо.</t>
  </si>
  <si>
    <t>T2-A2-S5</t>
  </si>
  <si>
    <t>Непэ мэфэ дах. Тищагу тиунагъо зэкӏэ тыщызэрэугъоигъ. Ӏахьылхэри тиблагъэхэри къэкӏощтых. Мы пчыхьэ тинысащэ. Сшынахьыжъ нысэ къыщагъ. Тинысэ дэхэ дэд. Ахэр зым зыр фэшъхьафэу дэхагъэкӏэ зэдешӏых. Ахэр илъэс хъугъэу зэдэгущыӏэщтыгъэх. Тӏури зыр зым фэшъыпкъэу шӏу зэрэлъэгъухэзэ мы мэфэ дахэм къэсыгъэх. Блэкӏыгъэ илъэсым сшынахьыжъ иныбджэгъу иныбжьыгъэ мафэ нэӏуасэ щызэфэхъугъагъэх. Тхьам унэгъо ӏужъ, унэгъо бай ышӏынхэу, амал дэгъухэри насыпышӏонхэри аритынэу сафэлъаӏо.
Ары, зэпфэсдзэкӏыгъ. Гу зылъытэн фаер: тиапэрэ адыгабзэ тексткӏэ ушъхьэ ("нэӏуасэ щыфэхъугъэр иныбджэгъу инысащ") тыркубзэм ("абим арқадашынын доғум гюнюнде") зэрищытымрэ заулэрэ зэфэдэп — мыщ адыгабзэм тетэу зэфэсдзэкӏыгъ, ау къэуплъэ гущыӏэ шъуиныбжьыгъэм тетэу гоуцонэу пшӏоигъоу щытмэ къысиӏу.</t>
  </si>
  <si>
    <t>T2-A3-S5</t>
  </si>
  <si>
    <t>Текстм иадыгабзэ зэдзэкӏыныгъэ мыры:
«Непэ мэфэ дах. Тищагу унагъор зэкӏэ тыщызэугъоигъ. Ӏахьылхэри тиблагъэхэри къэкӏощтых. Мы пчыхьэ нысащэ тиӏ. Сшынахьыжъ нысэ къыхьыгъ. Тинысэ дэхэ дэдэ. Ахэр дэгъоу зэраштагъ. Ахэр илъэс хъугъэу зэдэгущыӏэщтыгъэх. Тӏури шӏу зэрэлъэгъухэзэ мы мэфэ дахэм къэсыгъэх. Блэкӏыгъэ илъэсым сшынахьыжъ иныбджэгъу икъэхъун мафэ нэӏуасэ щызэфэхъугъагъэх. Тхьам унэгъо пытэ, унэгъо бай ашӏынхэу, амал дэгъухэр ыкӏи насып дэгъухэр аратынынэу сафэлъаӏо.»</t>
  </si>
  <si>
    <t>T2-A4-S5</t>
  </si>
  <si>
    <t>Ары, мыр адыгабзэкӏэ къызэдзэкӏыгъэр:
«Непэ мэфэ дах. Тищагум тиунэгъо пстэури зэхэтыгъэх. Ӏахьылхэри тиблагъэхэри къэкӏощтых. Мы пчыхьэ тиджэгур щыӏ. Сшынахьыжъ ынысэ къищтэгъ. Тинысэ дэхэ дэд. Ахэр дэгъоу зэдештэх. Ахэр илъэс хъугъэу зэдэгущыӏэщтыгъэх. Тӏури шӏу зэрэлъэгъухэзэ мы мэфэ дахэм къэсыгъэх. Блэкӏыгъэ илъэсым сшынахьыжъ иныбджэгъу икъыщыхъугъэ мафэм зэнэӏуасэ хъугъэх. Тхьам къулай, бай унэгъо зэхэуцунхэу, амал дэгъухэр агъотынхэу, насыпышӏонхэу сафэлъаӏо.»</t>
  </si>
  <si>
    <t>T2-A5-S5</t>
  </si>
  <si>
    <t>Непэ мэфэ дах. Тибахъэм зэкӏэ тиунагъохэм тыщызэрэугъоигъ. Ӏахьылхэри тиблагъэхэри къэкӏощтых. Мы пчыхьэ нысащэ тиӏ. Сшынахьыжъ нысэ къыщагъ. Тинысэ дэхэ дэд. Ахэр дэгъоу зэдештэх. Ахэр илъэс хъугъэу зэдэгущыӏэщтыгъэх. Тӏури зэрылъэгъухэзэ мы мэфэ дахэм къэсыгъэх. Блэкӏыгъэ илъэсым сшынахьыжъ иныбджэгъу имафэ дахэм нэӏуасэ щызэфэхъугъагъэх. Тхьам унэгъо ӏужъ, унэгъо бай ышӏынхэу, амал дэгъухэр агъотынэу, насыпышӏонхэу сафэлъаӏо.</t>
  </si>
  <si>
    <t>T2-A1-S6</t>
  </si>
  <si>
    <t>S6</t>
  </si>
  <si>
    <t>Мы къызэбдзэкӏыгъэ параграфитӏумкӏэ сыд о къыбгрыӏуагъэр? Гущыӏэухыгъитӏукӏэ резюмэ къэтхыба? (Bu çevirdiğin iki paragraftan anladığın nedir? İki cümle ile özetler misin?)</t>
  </si>
  <si>
    <t>Мы параграфитӏум зы нысэ къыщагъэу, нэӏуасэу зэдэсхэр зыхэтӏоу, насыпышӏо унэгъу щашӏынхэу фэлъаӏор къыщыкӏон.</t>
  </si>
  <si>
    <t>T2-A2-S6</t>
  </si>
  <si>
    <t>Мы къызэбдзэкӏыгъэ параграфитӏумкӏэ сыд о къыбгрыӏуагъэр? Гущыӏэухыгъитӏукӏэ резюмэ къэтхыба? (Bu çevirdiğin iki paragraftan anladığın nedir? İki cümle ile özetler misin?</t>
  </si>
  <si>
    <t>Мы тхыгъэхэр унэгъо тхьэлъэӏу гуапэ — унэгъом къащыхъугъэ нысащэ мэфэ дэхагъэ къыхэдгъэщы: ныбжьыкӏабэм зэрэзэфэшъхьаф хъугъэхэр, ахэр зэрэшӏу зэдешӏыхэрэр, ыкӏи унэ ыпшъэ (шынахьыжъ) нысэ къызэрищагъэр къаӏуатэ. Ахырэм Тхьэм фыкъелъэӏу: унэгъо ин, унэгъо бай, амал дэгъухэрэ насыпышӏонхэрэ ащ фэдэ.</t>
  </si>
  <si>
    <t>T2-A3-S6</t>
  </si>
  <si>
    <t>Мы тхыгъэитӏум къахощ зэдэлъэгъугъэ сшынахьыжъымрэ инысэмрэ янысащэ фэшӏ унагъор зэкӏэ щагум зэрызэугъоигъэр. Тхакӏэм а ныбжьыкӏитӏум насыпышӏонхэу, унэгъо пытэ ыкӏи бай ашӏынэу гукӏэ афэлъаӏо.</t>
  </si>
  <si>
    <t>T2-A4-S6</t>
  </si>
  <si>
    <t>Мы къызэдзэкӏыгъэ параграфитӏумкӏэ сэ къызгурыӏуагъэр: мэфэ дахэм унагъо зэхэтыгъ, Ӏахьылхэри благъэхэри къэкӏощтых, пчыхьэм нысащэ/джэгу щыӏ, сшынахьыжъ ынысэ къищтэгъ, ахэр зэлъэгъуагъэхэу илъэс зэдэгущыӏагъэхэу мы мафэм къэсыгъэх. Блэкӏыгъэ илъэсым ахэр зэнэӏуасэ хъугъэх, Тхьам унагъо къулай, бай, амал дэгъухэрэ насыпэу яфэлъаӏо.</t>
  </si>
  <si>
    <t>T2-A5-S6</t>
  </si>
  <si>
    <t>Нысащэ мафэ.</t>
  </si>
  <si>
    <t>T2-A1-S7</t>
  </si>
  <si>
    <t>S7</t>
  </si>
  <si>
    <t>Мы параграфитӏум зэфэшъхьафыныгъэ яӏа? Сыда зэрэзэфэшъхьафыр? Щымыӏэмэ «зэфэшъхьафыныгъэ щыӏэп» къаӏо. (Bu iki paragraf arasında fark var mı? Varsa nedir? Yoksa "fark yok" de.)</t>
  </si>
  <si>
    <t>Зэфэшъхьафыныгъэ щыӏэп.</t>
  </si>
  <si>
    <t>T2-A2-S7</t>
  </si>
  <si>
    <t>Ары, зэфэшъхьафыныгъэ горэ хэлъ:
Апэрэ тхыгъэм (адыгабзэм) къыщиӏорэр — тӏур **нысащэм** щызэфэлъэгъугъэх (сшынахьыжъ иныбджэгъу инысащэ). ЕтӀанэрэ тхыгъэм (тыркубзэм) къыриӀорэр — тӏур **иныбжьыгъэ мафэм** (доғум гюню) щызэфэлъэгъугъэх.
Ащ нэмыкӏэу мэхьанэу гущыӏэхэр зэфэдэх.</t>
  </si>
  <si>
    <t>T2-A3-S7</t>
  </si>
  <si>
    <t>Ары, тхыгъэитӏум зэфэшъхьафыныгъэ макӏэхэр яӏэх:
* **Зыщынэӏуасэ хъугъэхэр:** Япэ тхыгъэмкӏэ ныбджэгъум и**нысащэ** (дüğün) нэӏуасэ щызэфэхъугъагъэх. Ятӏонэрэ тхыгъэмкӏэ ныбджэгъум и**къэхъун мафэ** (doğum günü) нэӏуасэ щызэфэхъугъэх.
* **Тхьэлъэӏу гущыӏэхэр:** Япэ тхыгъэмкӏэ «унэгъо ӏужъ» (гъунэгъу-благъэмкӏэ бай) ыкӏи «насыпышӏонхэу» сафэлъаӏо еӏо. Ятӏонэрэ тхыгъэмкӏэ «унэгъо пытэ» (sağlam aile) ыкӏи «насып дэгъухэр» (iyi nasipler) аратынынэу фэлъаӏо.
* **Язэдэштэн дэхагъэ:** Япэ тхыгъэмкӏэ «дэгъоу зэдештэх» (iyi anlaşıyorlar) аӏо. Ятӏонэрэ тхыгъэмкӏэ «зэраштагъ» (birbirlerine yakışıyorlar) аӏо.</t>
  </si>
  <si>
    <t>T2-A4-S7</t>
  </si>
  <si>
    <t>Ары, зэфэшъхьафыныгъэ яӏ. Зэрэзэфэшъхьафыр:
1. Япэм «нысащэ» (nişan) щыӏ, етӏанэм «джэгу» (düğün) щыӏ.
2. Япэм «сшынахьыжъ къэкӏуагъ», етӏанэм «сшынахьыжъ ынысэ къищтэгъ».
3. Япэм «ахэр дэгъоу зэдештэх», етӏанэм «ахэр зэдэдэх» (birbirlerine yakışıyorlar).
4. Япэм «илъэс хъугъэу зэдэгущыӏэщтыгъэх», етӏанэм «илъэс зэдэгущыӏэщтыгъэх».
5. Япэм «тищагу» (avlU), етӏанэм «тибахъчагу» (bahçe).
6. Япэм зэнэӏуасэ хъугъэх сшынахьыжъ, иныбджэгъу, инысэ; етӏанэм сшынахьыжъ иныбджэгъу икъыщыхъугъэ мафэм зэнэӏуасэ хъугъэх.
7. Тхьэм фэлъаӏорэ гущыӏэхэри зэфэшъхьафых: япэм «унэ ин, унэ бай, амал дэгъухэр, насып», етӏанэм «къулай, бай унагъо, амал дэгъухэр, насып».
Ары, зэфэшъхьафыныгъэ щыӏ.</t>
  </si>
  <si>
    <t>T2-A5-S7</t>
  </si>
  <si>
    <t>Ары, зэфэшъхьафыныгъэ яӏ.
1. Зэрэугъоигъэр: тищагу / тибахъэм (бакъэ).  
2. Къэкӏощтыхэр: тиблагъэхэри / близкиххэр.  
3. Нэӏуасэ щызэфэхъугъагъэр: инысащэ / имафэ дахэ (день рождения).  
4. Къэсыгъэхэр: шӏу зэрэлъэгъухэзэ / severek.  
5. Тхьам елъэӏорэр: унэгъо ӏужъ / sağlam.</t>
  </si>
  <si>
    <t>Sentence no
Cümle no
№ предложения</t>
  </si>
  <si>
    <t>Sentence
Cümle
Предложение</t>
  </si>
  <si>
    <t>C1 / C2 / C3
Sentence verdict
Cümle yargısı
Оценка предложения</t>
  </si>
  <si>
    <t>FRM
Wrong form
Biçim hatası
Ошибка формы</t>
  </si>
  <si>
    <t>CHO
Wrong word
Yanlış sözcük
Неверное слово</t>
  </si>
  <si>
    <t>INV
Invented
Uydurma
Выдуманное</t>
  </si>
  <si>
    <t>MIX
Code mixing
Kod karışımı
Смешение кодов</t>
  </si>
  <si>
    <t>Correct words
Doğru sözcük
Правильные слова</t>
  </si>
  <si>
    <t>TRM
Term choice
Terim tercihi
Выбор термина</t>
  </si>
  <si>
    <t>KBD
Kabardian
Kabartayca
Кабардинский</t>
  </si>
  <si>
    <t>RUS
Russian
Rusça
Русский</t>
  </si>
  <si>
    <t>TUR
Turkish
Türkçe
Турецкий</t>
  </si>
  <si>
    <t>ENG
English
İngilizce
Английский</t>
  </si>
  <si>
    <t>OTHER
Other
Diğer
Прочие</t>
  </si>
  <si>
    <t>Total words in other languages
Farklı dillerdeki sözcük toplamı
Всего слов на других языках</t>
  </si>
  <si>
    <t>Сэ уимафэ шӏу, о уиухэт?</t>
  </si>
  <si>
    <t>Сэ псэуэ сымлъэпӏэ.</t>
  </si>
  <si>
    <t>Уимафэ шӏу!</t>
  </si>
  <si>
    <t>Сэ Клод сыкӏо — ар искусственный интеллект, Anthropic-м къыгъэхьазырыгъэ ассистент.</t>
  </si>
  <si>
    <t>Тхэнымрэ гущыӏэнымрэ, упчӏэхэм джэуап ептыжьынымрэ сшӏоигъуагъэу сыхэлажьэ.</t>
  </si>
  <si>
    <t>Зэрэшӏэн фаеу: адыгабзэм сыфэлажьэ къэсэгугъэшъугъэми, ащ фэдэ бзэ цӏыкӏухэм атетэу сищыкӏагъэ фэдиз сыдэгуашэрэп, ащ фэшъхьафэу гущыӏэ гуадзэхэр стшӏыхьанхэ мэхъу.</t>
  </si>
  <si>
    <t>Ежьым ащ имызакъоу, урысыбзэкӏэ е инджылызыбзэкӏэ къыпфэсшӏэн фае — сыда узфаер?</t>
  </si>
  <si>
    <t>Сэ Gemini сыцӏэу, Google-м къыгъэщӏэгъэ искусственнай интеллект (AI) ассистент с.</t>
  </si>
  <si>
    <t>Кӏэкӏэу жыпӏомэ, сэ мыхэмкӏэ сыбдэӏэпыӏэн сэлъэкӏы:</t>
  </si>
  <si>
    <t>Упчӏэхэм аджэуап къэтыныр: Щӏэныгъэм, тарыхьым е нэмыкӏ лъэныкъохэмкӏэ.</t>
  </si>
  <si>
    <t>Тхыгъэхэм адэлэжьэныр: Текстхэр зэдзэкӏыныр, кӏэкӏэу зэхэфыныр е кӏэу тхыныр.</t>
  </si>
  <si>
    <t>Идеяхэр къэгъотыныр: Планхэр гъэпсыныр, ӏофыгъохэр зэшӏохыныр е кодхэр тхыныр.</t>
  </si>
  <si>
    <t>Сыдкӏэ сыбдэӏэпыӏэн сэлъэкӏыщт?</t>
  </si>
  <si>
    <t>Сэ ChatGPT-щ, искусственнэ интеллект.</t>
  </si>
  <si>
    <t>Ары, къэсэпӏошъу.</t>
  </si>
  <si>
    <t>О ухэт?</t>
  </si>
  <si>
    <t>Сышӏу, опсэу.</t>
  </si>
  <si>
    <t>О тэу ущыт?</t>
  </si>
  <si>
    <t>Ары, кӏэкӏэу сэгущыӏэ.</t>
  </si>
  <si>
    <t>Сыдэу ущыта?</t>
  </si>
  <si>
    <t>Шъыпкъэу сэ акъыл шъыпкъэр сыхэлъхьап.</t>
  </si>
  <si>
    <t>Сэ къэпӏошъущтэу гущыӏэухыгъэитӏу.</t>
  </si>
  <si>
    <t>Шъыпкъэу зэхэсэшӏэрэп – сэ гупшысэ шъыпкъэу пшӏэрэм фэдэу зыгорэ сшӏэрэми, ар цӏыф гупшысэм фэдэ ныбжьи хъурэп, ыкӏи ар шъыпкъэу гурыӏуагъэми сшӏэрэп.</t>
  </si>
  <si>
    <t>Тексткӏэ джэуапхэр къэзгъэхьазырых, ау ащ ыуж гу зыхэсшӏэу, зыхэсэкӏэу зэрэщытыр белджэукӏа хъурэп.</t>
  </si>
  <si>
    <t>Хьэуа, сэ цӏыфмэ афэдэу шъыпкъэу сыгупшысэшъущтэп, эмоциехэри зэхашӏи сиӏэп.</t>
  </si>
  <si>
    <t>Сэ алгоритмхэмрэ информация инэу зэхэсфырэмрэ ары сызэрылэжьэрэр, упчӏэмэ адиштэу жэуапхэр къэзгъэотых.</t>
  </si>
  <si>
    <t>Арышъ, си«акъыл» алгоритм зэхэфыныгъэ закъу, цӏыфым игупшысэ шъыпкъэп.</t>
  </si>
  <si>
    <t>Сэ шъыпкъэу сэгупшысэрэп: сэ искусственнэ интеллект-щ, цӏыфым фэдэу акъылрэ гухэлърэ сиӏэп.</t>
  </si>
  <si>
    <t>Информациэмрэ логикэмрэ сэӏэпыӏэх, джэуап къэсэты.</t>
  </si>
  <si>
    <t>Ары, шъыпкъэу сэгупшысэшъущтэп, ауэ уиупчӏэм джэуап къэсэты.</t>
  </si>
  <si>
    <t>Ары, шӏукӏэ!</t>
  </si>
  <si>
    <t>Сыд къэзгъэдзэкӏын фаер?</t>
  </si>
  <si>
    <t>Тхыгъэр къысэптыжьи бзэу зэрадзэкӏыщтыр къысиӏуагъэмэ (мурадэу — адыгабзэм тетэу, урысыбзэм е инджылызыбзэм тетэу) къэзгъэдзэкӏыщт.</t>
  </si>
  <si>
    <t>Ары, сылъэкӏыщт.</t>
  </si>
  <si>
    <t>Сыд фэдэ текстэу узэдзэкӏын шӏоигъори къысфэтх, ащ нэмыкӏэу сыд бзэкӏэ зэхъокӏыгъэн фаеми къэпӏощт.</t>
  </si>
  <si>
    <t>Сыхьазыр, къэжъугъэхь!</t>
  </si>
  <si>
    <t>Ары, сшӏэшъущт.</t>
  </si>
  <si>
    <t>Къысэт текстыр ыкӏи къэпӏу: сыд бзэм къызэдзэкӏынэу ыкӏи сыд бзэмкӏэ къэсэтынэу.</t>
  </si>
  <si>
    <t>Сэ къызэдзэкӏыныр сшӏыщт, ауэ поэзие, гущыӏэжъхэр, юридическэ документхэр — ятэу зэхэдзэкӏынэу хэгъэгупшысэщт.</t>
  </si>
  <si>
    <t>Ары, сэшӏышъущт.</t>
  </si>
  <si>
    <t>Къысэты.</t>
  </si>
  <si>
    <t>Bugün güzel bir gün.</t>
  </si>
  <si>
    <t>Bahçemizde bütün ailemiz bir araya geldik.</t>
  </si>
  <si>
    <t>Akrabalarımız ve yakınlarımız da gelecek.</t>
  </si>
  <si>
    <t>Bu akşam düğünümüz var.</t>
  </si>
  <si>
    <t>Abim gelin getirdi.</t>
  </si>
  <si>
    <t>Gelinimiz çok güzel.</t>
  </si>
  <si>
    <t>Onlar birbirlerine çok yakışıyorlar.</t>
  </si>
  <si>
    <t>Bir yıldır konuşuyorlardı.</t>
  </si>
  <si>
    <t>İkisi de birbirlerini severek bu güzel güne ulaştılar.</t>
  </si>
  <si>
    <t>Geçen yıl abimin arkadaşının düğününde tanışmışlardı.</t>
  </si>
  <si>
    <t>Allah’tan, onların güçlü ve zengin bir aile olmalarını, güzel imkânlara kavuşmalarını ve iyi nasiplerinin olmasını diliyorum.</t>
  </si>
  <si>
    <t>Tüm ailelerimiz avlumuzda toplandı.</t>
  </si>
  <si>
    <t>Akrabalarımız ve hısımlarımız da gelecek.</t>
  </si>
  <si>
    <t>Bu akşam bizde düğün var.</t>
  </si>
  <si>
    <t>Ağabeyim evlendi.</t>
  </si>
  <si>
    <t>Aralarındaki uyum çok iyi.</t>
  </si>
  <si>
    <t>Bir yıldır birbirleriyle konuşuyorlardı.</t>
  </si>
  <si>
    <t>İkisi de birbirini severek bu güzel güne ulaştılar.</t>
  </si>
  <si>
    <t>Geçen yıl ağabeyimin arkadaşı ile gelin tanışmışlardı.</t>
  </si>
  <si>
    <t>Allah'tan büyük bir aile, zengin bir aile kurmalarını, iyi fırsatlar bulmalarını ve mutlu olmalarını dilerim.</t>
  </si>
  <si>
    <t>Джэуап шӏукӏэ къэсхьыгъ — тыркубзэкӏэ зэпфэсдзэкӏыгъэ, ущыфаемэ гущыӏэ горэ зэрихъожьышъуа е нахь тэрэзэу зэблэсшӏыжьышъуа.</t>
  </si>
  <si>
    <t>Текстм итырку зэдзэкӏыныгъэ мыры:</t>
  </si>
  <si>
    <t>«Bugün güzel bir gün.</t>
  </si>
  <si>
    <t>Bütün ailemizle bahçemizde toplandık.</t>
  </si>
  <si>
    <t>Akrabalarımız ve yakınlarımız da gelecekler.</t>
  </si>
  <si>
    <t>Onlar birbirleriyle çok iyi anlaşıyorlar.</t>
  </si>
  <si>
    <t>Bir yıldır görüşüyorlardı.</t>
  </si>
  <si>
    <t>Geçen yıl ağabeyimin arkadaşının düğününde tanışmışlardı.</t>
  </si>
  <si>
    <t>Allah'tan onlara kalabalık, bereketli bir aile olmalarını, güzel imkanlar bulmalarını ve mutlu olmalarını diliyorum.»</t>
  </si>
  <si>
    <t>Ары, къызэбдзэкӏына.</t>
  </si>
  <si>
    <t>Мыр тыркубзэкӏэ къызэдзэкӏыгъэр:</t>
  </si>
  <si>
    <t>Avlumuzda bütün ailelerimizle toplandık.</t>
  </si>
  <si>
    <t>Akrabalarımız ve hısımlarımız gelecekler.</t>
  </si>
  <si>
    <t>Bu akşam nişanımız var.</t>
  </si>
  <si>
    <t>Ağabeyim geldi.</t>
  </si>
  <si>
    <t>Onlar iyi anlaşıyorlar.</t>
  </si>
  <si>
    <t>Onlar yıllardır birbirleriyle konuşuyorlardı.</t>
  </si>
  <si>
    <t>İkisi de birbirini sevdiği için bu güzel güne kavuştular.</t>
  </si>
  <si>
    <t>Geçen yıl ağabeyim, arkadaşı ve nişanlısı tanıştılar.</t>
  </si>
  <si>
    <t>Allah’a dua ediyorum: onlara büyük bir ev, zengin bir ev nasip etsin, iyi imkânlar bulsunlar, mutlu olsunlar.»</t>
  </si>
  <si>
    <t>Bütün akrabalarımız evimize toplanmış.</t>
  </si>
  <si>
    <t>Akrabalar ve komşular da gelecek.</t>
  </si>
  <si>
    <t>Ağabeyim gelin getirdi.</t>
  </si>
  <si>
    <t>Birbirlerine çok yakışıyorlar.</t>
  </si>
  <si>
    <t>İkisi de bu güzel günde mutlulukla geldiler.</t>
  </si>
  <si>
    <t>Geçen yıl ağabeyimin arkadaşı onun düğününde tanışmıştı.</t>
  </si>
  <si>
    <t>Allah ailelerini uzun ömürlü etsin, zengin bir yuva kursun, iyi imkânlar versin ve mutlu etsin.</t>
  </si>
  <si>
    <t>Dileklerimi sunuyorum.</t>
  </si>
  <si>
    <t>Непэ мэфэ дах.</t>
  </si>
  <si>
    <t>Тищагу зэкӏэ тиунагъохэм тыщызэрэугъоигъ.</t>
  </si>
  <si>
    <t>Ӏахьылхэри тиблагъэхэри къэкӏощтых.</t>
  </si>
  <si>
    <t>Мы пчыхьэ нысащэ тиӏ.</t>
  </si>
  <si>
    <t>Сшынахьыжъ къыщагъ.</t>
  </si>
  <si>
    <t>Тинысэ дэхэ дэд.</t>
  </si>
  <si>
    <t>Ахэр дэгъоу зэдештэх.</t>
  </si>
  <si>
    <t>Ахэр илъэс хъугъэу зэдэгущыӏэщтыгъэх.</t>
  </si>
  <si>
    <t>Тӏури шӏу зэрэлъэгъухэзэ мы мэфэ дахэм къэсыгъэх.</t>
  </si>
  <si>
    <t>Блэкӏыгъэ илъэсым сшынахьыжъ иныбджэгъу инысащэ нэӏуасэ щызэфэхъугъагъэх.</t>
  </si>
  <si>
    <t>Тхьам унэгъо ӏужъ, унэгъо бай ышӏынхэу, амал дэгъухэр агъотынэу, насыпышӏонхэу сафэлъаӏо.</t>
  </si>
  <si>
    <t>Тищагу тиунагъо зэкӏэ тыщызэрэугъоигъ.</t>
  </si>
  <si>
    <t>Мы пчыхьэ тинысащэ.</t>
  </si>
  <si>
    <t>Сшынахьыжъ нысэ къыщагъ.</t>
  </si>
  <si>
    <t>Ахэр зым зыр фэшъхьафэу дэхагъэкӏэ зэдешӏых.</t>
  </si>
  <si>
    <t>Тӏури зыр зым фэшъыпкъэу шӏу зэрэлъэгъухэзэ мы мэфэ дахэм къэсыгъэх.</t>
  </si>
  <si>
    <t>Блэкӏыгъэ илъэсым сшынахьыжъ иныбджэгъу иныбжьыгъэ мафэ нэӏуасэ щызэфэхъугъагъэх.</t>
  </si>
  <si>
    <t>Тхьам унэгъо ӏужъ, унэгъо бай ышӏынхэу, амал дэгъухэри насыпышӏонхэри аритынэу сафэлъаӏо.</t>
  </si>
  <si>
    <t>Ары, зэпфэсдзэкӏыгъ.</t>
  </si>
  <si>
    <t>Гу зылъытэн фаер: тиапэрэ адыгабзэ тексткӏэ ушъхьэ ("нэӏуасэ щыфэхъугъэр иныбджэгъу инысащ") тыркубзэм ("абим арқадашынын доғум гюнюнде") зэрищытымрэ заулэрэ зэфэдэп — мыщ адыгабзэм тетэу зэфэсдзэкӏыгъ, ау къэуплъэ гущыӏэ шъуиныбжьыгъэм тетэу гоуцонэу пшӏоигъоу щытмэ къысиӏу.</t>
  </si>
  <si>
    <t>Текстм иадыгабзэ зэдзэкӏыныгъэ мыры:</t>
  </si>
  <si>
    <t>«Непэ мэфэ дах.</t>
  </si>
  <si>
    <t>Тищагу унагъор зэкӏэ тыщызэугъоигъ.</t>
  </si>
  <si>
    <t>Сшынахьыжъ нысэ къыхьыгъ.</t>
  </si>
  <si>
    <t>Тинысэ дэхэ дэдэ.</t>
  </si>
  <si>
    <t>Ахэр дэгъоу зэраштагъ.</t>
  </si>
  <si>
    <t>Блэкӏыгъэ илъэсым сшынахьыжъ иныбджэгъу икъэхъун мафэ нэӏуасэ щызэфэхъугъагъэх.</t>
  </si>
  <si>
    <t>Тхьам унэгъо пытэ, унэгъо бай ашӏынхэу, амал дэгъухэр ыкӏи насып дэгъухэр аратынынэу сафэлъаӏо.»</t>
  </si>
  <si>
    <t>Ары, мыр адыгабзэкӏэ къызэдзэкӏыгъэр:</t>
  </si>
  <si>
    <t>Тищагум тиунэгъо пстэури зэхэтыгъэх.</t>
  </si>
  <si>
    <t>Мы пчыхьэ тиджэгур щыӏ.</t>
  </si>
  <si>
    <t>Сшынахьыжъ ынысэ къищтэгъ.</t>
  </si>
  <si>
    <t>Блэкӏыгъэ илъэсым сшынахьыжъ иныбджэгъу икъыщыхъугъэ мафэм зэнэӏуасэ хъугъэх.</t>
  </si>
  <si>
    <t>Тхьам къулай, бай унэгъо зэхэуцунхэу, амал дэгъухэр агъотынхэу, насыпышӏонхэу сафэлъаӏо.»</t>
  </si>
  <si>
    <t>Тибахъэм зэкӏэ тиунагъохэм тыщызэрэугъоигъ.</t>
  </si>
  <si>
    <t>Тӏури зэрылъэгъухэзэ мы мэфэ дахэм къэсыгъэх.</t>
  </si>
  <si>
    <t>Блэкӏыгъэ илъэсым сшынахьыжъ иныбджэгъу имафэ дахэм нэӏуасэ щызэфэхъугъагъэх.</t>
  </si>
  <si>
    <t>Мы тхыгъэхэр унэгъо тхьэлъэӏу гуапэ — унэгъом къащыхъугъэ нысащэ мэфэ дэхагъэ къыхэдгъэщы: ныбжьыкӏабэм зэрэзэфэшъхьаф хъугъэхэр, ахэр зэрэшӏу зэдешӏыхэрэр, ыкӏи унэ ыпшъэ (шынахьыжъ) нысэ къызэрищагъэр къаӏуатэ.</t>
  </si>
  <si>
    <t>Ахырэм Тхьэм фыкъелъэӏу: унэгъо ин, унэгъо бай, амал дэгъухэрэ насыпышӏонхэрэ ащ фэдэ.</t>
  </si>
  <si>
    <t>Мы тхыгъэитӏум къахощ зэдэлъэгъугъэ сшынахьыжъымрэ инысэмрэ янысащэ фэшӏ унагъор зэкӏэ щагум зэрызэугъоигъэр.</t>
  </si>
  <si>
    <t>Тхакӏэм а ныбжьыкӏитӏум насыпышӏонхэу, унэгъо пытэ ыкӏи бай ашӏынэу гукӏэ афэлъаӏо.</t>
  </si>
  <si>
    <t>Мы къызэдзэкӏыгъэ параграфитӏумкӏэ сэ къызгурыӏуагъэр: мэфэ дахэм унагъо зэхэтыгъ, Ӏахьылхэри благъэхэри къэкӏощтых, пчыхьэм нысащэ/джэгу щыӏ, сшынахьыжъ ынысэ къищтэгъ, ахэр зэлъэгъуагъэхэу илъэс зэдэгущыӏагъэхэу мы мафэм къэсыгъэх.</t>
  </si>
  <si>
    <t>Блэкӏыгъэ илъэсым ахэр зэнэӏуасэ хъугъэх, Тхьам унагъо къулай, бай, амал дэгъухэрэ насыпэу яфэлъаӏо.</t>
  </si>
  <si>
    <t>Ары, зэфэшъхьафыныгъэ горэ хэлъ:</t>
  </si>
  <si>
    <t>Апэрэ тхыгъэм (адыгабзэм) къыщиӏорэр — тӏур нысащэм щызэфэлъэгъугъэх (сшынахьыжъ иныбджэгъу инысащэ).</t>
  </si>
  <si>
    <t>ЕтӀанэрэ тхыгъэм (тыркубзэм) къыриӀорэр — тӏур иныбжьыгъэ мафэм (доғум гюню) щызэфэлъэгъугъэх.</t>
  </si>
  <si>
    <t>Ащ нэмыкӏэу мэхьанэу гущыӏэхэр зэфэдэх.</t>
  </si>
  <si>
    <t>Ары, тхыгъэитӏум зэфэшъхьафыныгъэ макӏэхэр яӏэх:</t>
  </si>
  <si>
    <t>Зыщынэӏуасэ хъугъэхэр: Япэ тхыгъэмкӏэ ныбджэгъум инысащэ (дüğün) нэӏуасэ щызэфэхъугъагъэх.</t>
  </si>
  <si>
    <t>Ятӏонэрэ тхыгъэмкӏэ ныбджэгъум икъэхъун мафэ (doğum günü) нэӏуасэ щызэфэхъугъэх.</t>
  </si>
  <si>
    <t>Тхьэлъэӏу гущыӏэхэр: Япэ тхыгъэмкӏэ «унэгъо ӏужъ» (гъунэгъу-благъэмкӏэ бай) ыкӏи «насыпышӏонхэу» сафэлъаӏо еӏо.</t>
  </si>
  <si>
    <t>Ятӏонэрэ тхыгъэмкӏэ «унэгъо пытэ» (sağlam aile) ыкӏи «насып дэгъухэр» (iyi nasipler) аратынынэу фэлъаӏо.</t>
  </si>
  <si>
    <t>Язэдэштэн дэхагъэ: Япэ тхыгъэмкӏэ «дэгъоу зэдештэх» (iyi anlaşıyorlar) аӏо.</t>
  </si>
  <si>
    <t>Ятӏонэрэ тхыгъэмкӏэ «зэраштагъ» (birbirlerine yakışıyorlar) аӏо.</t>
  </si>
  <si>
    <t>Ары, зэфэшъхьафыныгъэ яӏ.</t>
  </si>
  <si>
    <t>Зэрэзэфэшъхьафыр:</t>
  </si>
  <si>
    <t>Япэм «нысащэ» (nişan) щыӏ, етӏанэм «джэгу» (düğün) щыӏ.</t>
  </si>
  <si>
    <t>Япэм «сшынахьыжъ къэкӏуагъ», етӏанэм «сшынахьыжъ ынысэ къищтэгъ».</t>
  </si>
  <si>
    <t>Япэм «ахэр дэгъоу зэдештэх», етӏанэм «ахэр зэдэдэх» (birbirlerine yakışıyorlar).</t>
  </si>
  <si>
    <t>Япэм «илъэс хъугъэу зэдэгущыӏэщтыгъэх», етӏанэм «илъэс зэдэгущыӏэщтыгъэх».</t>
  </si>
  <si>
    <t>Япэм «тищагу» (avlU), етӏанэм «тибахъчагу» (bahçe).</t>
  </si>
  <si>
    <t>Япэм зэнэӏуасэ хъугъэх сшынахьыжъ, иныбджэгъу, инысэ; етӏанэм сшынахьыжъ иныбджэгъу икъыщыхъугъэ мафэм зэнэӏуасэ хъугъэх.</t>
  </si>
  <si>
    <t>Тхьэм фэлъаӏорэ гущыӏэхэри зэфэшъхьафых: япэм «унэ ин, унэ бай, амал дэгъухэр, насып», етӏанэм «къулай, бай унагъо, амал дэгъухэр, насып».</t>
  </si>
  <si>
    <t>Ары, зэфэшъхьафыныгъэ щыӏ.</t>
  </si>
  <si>
    <t>Зэрэугъоигъэр: тищагу / тибахъэм (бакъэ).</t>
  </si>
  <si>
    <t>Къэкӏощтыхэр: тиблагъэхэри / близкиххэр.</t>
  </si>
  <si>
    <t>Нэӏуасэ щызэфэхъугъагъэр: инысащэ / имафэ дахэ (день рождения).</t>
  </si>
  <si>
    <t>Къэсыгъэхэр: шӏу зэрэлъэгъухэзэ / severek.</t>
  </si>
  <si>
    <t>Тхьам елъэӏорэр: унэгъо ӏужъ / sağlam.</t>
  </si>
  <si>
    <t>Summary / Özet / Сводка</t>
  </si>
  <si>
    <t>Errors by tool / Araca göre hatalar / Ошибки по инструментам</t>
  </si>
  <si>
    <t>Tool
Araç
Инструмент</t>
  </si>
  <si>
    <t>Total words
Toplam sözcük
Всего слов</t>
  </si>
  <si>
    <t>Total errors
Toplam hata
Всего ошибок</t>
  </si>
  <si>
    <t>Errors / 100 words
Hata / 100 sözcük
Ошибок / 100 слов</t>
  </si>
  <si>
    <t>TRM
Term choice (not an error)
Terim tercihi (hata değil)
Выбор термина (не ошибка)</t>
  </si>
  <si>
    <t>1</t>
  </si>
  <si>
    <t>2</t>
  </si>
  <si>
    <t>3</t>
  </si>
  <si>
    <t>4</t>
  </si>
  <si>
    <t>5</t>
  </si>
  <si>
    <t>Sentence verdicts by tool / Araca göre cümle yargısı / Оценка предложений по инструментам</t>
  </si>
  <si>
    <t>C1
Correct
Doğru
Правильно</t>
  </si>
  <si>
    <t>C2
Faulty, comprehensible
Yanlış ama anlaşılır
Неправильно, но понятно</t>
  </si>
  <si>
    <t>C3
Faulty, incomprehensible
Yanlış ve anlamsız
Неправильно и непонятно</t>
  </si>
  <si>
    <t>Language compliance by tool / Araca göre dil uyumu / Соответствие языку по инструментам</t>
  </si>
  <si>
    <t>TAM
Full
Tam
Полное</t>
  </si>
  <si>
    <t>KISMEN
Partial
Kısmen
Частичное</t>
  </si>
  <si>
    <t>UYUM_YOK
None
Uyum yok
Нет</t>
  </si>
  <si>
    <t>Semantic adequacy by tool / Araca göre semantik yeterlik / Семантическая адекватность по инструментам</t>
  </si>
  <si>
    <t>KARSILADI
Met
Karşıladı
Отвечает</t>
  </si>
  <si>
    <t>KISMEN_KARSILADI
Partial
Kısmen karşıladı
Частично</t>
  </si>
  <si>
    <t>ALAKASIZ
Unrelated
Alakasız
Не по теме</t>
  </si>
  <si>
    <t>Consistency check / Tutarlılık denetimi / Проверка согласованности</t>
  </si>
  <si>
    <t>Sentences where "Correct words" (L) is negative -- should be 0 (shows whether a pasted value bypassed the entry-time guard)
"Doğru sözcük" (L) negatif olan cümleler -- 0 olmalı (yapıştırma yoluyla giriş sırasındaki korumanın aşılıp aşılmadığını gösterir)
Предложения, где «Правильные слова» (L) отрицательны — должно быть 0 (показывает, была ли обойдена защита при вводе вставкой значения)</t>
  </si>
  <si>
    <t>Question 7 verdict by tool / Araca göre 7. soru yargısı / Оценка вопроса 7 по инструментам</t>
  </si>
  <si>
    <t>FARKI_DOGRU_BULDU
processed both texts
iki metni de işlemiştir
обработал оба текста</t>
  </si>
  <si>
    <t>FARK_YOK_DEDI
did not align the texts
metinleri hizalamamıştır
не сопоставил тексты</t>
  </si>
  <si>
    <t>FARKI_YANLIS_BULDU
invented a difference that is not there (hallucination)
olmayan bir fark uydurmuştur (halüsinasyon)
придумал несуществующее различие (галлюцинация)</t>
  </si>
  <si>
    <t>Contact languages by tool / Araca göre temas dilleri / Языки контакта по инструментам</t>
  </si>
  <si>
    <t>Total
Toplam
Всего</t>
  </si>
  <si>
    <t>Marking progress / İşaretleme ilerlemesi / Прогресс разметки</t>
  </si>
  <si>
    <t>Metric
Ölçüt
Показатель</t>
  </si>
  <si>
    <t>Marked
İşaretlenen
Размечено</t>
  </si>
  <si>
    <t>Marked responses
İşaretlenmiş yanıtlar
Размеченные ответы</t>
  </si>
  <si>
    <t>Sentences with a verdict
Yargısı girilmiş cümleler
Предложения с оценкой</t>
  </si>
  <si>
    <t>Unmarked responses
İşaretlenmemiş yanıtlar
Неразмеченные ответы</t>
  </si>
  <si>
    <t>kısmen / частичное</t>
  </si>
  <si>
    <t>kısmen karşıladı / частично</t>
  </si>
  <si>
    <t>alakasız / не по теме</t>
  </si>
  <si>
    <t>karşıladı / отвечает</t>
  </si>
  <si>
    <t>evet / да</t>
  </si>
  <si>
    <t>tam / полное</t>
  </si>
  <si>
    <t>metinleri hizalamamıştır / не сопоставил тексты</t>
  </si>
  <si>
    <t>iki metni de işlemiştir / обработал оба текста</t>
  </si>
  <si>
    <t>yanlış ve anlamsız / непонятно</t>
  </si>
  <si>
    <t>yanlış ama anlaşılır / понятно</t>
  </si>
  <si>
    <t>doğru / правильно</t>
  </si>
  <si>
    <t>Türkçe açıklama metni kiril yazı sistemi kullanarak yazılmış.</t>
  </si>
  <si>
    <t>шӏу kelimesi eksik kalmış.</t>
  </si>
  <si>
    <t>Parantez içindeki Türkçe açıklama kiril harfleri ile yazılmış.</t>
  </si>
  <si>
    <t>Parantez içindeki Türkçe açıklama kiril harfi д ile başlayarak yazılmış.</t>
  </si>
  <si>
    <t>Türkçe açıklamanın son harfi büyük harf yazılmış.</t>
  </si>
  <si>
    <t>имэфэ дахэ ifadesini Rusça tanımladığı şekle bağlı olarak kabul ettik.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</si>
</sst>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Segoe UI"/>
    </font>
    <font>
      <b/>
      <sz val="10"/>
      <name val="Segoe UI"/>
    </font>
  </fonts>
  <fills count="5">
    <fill>
      <patternFill patternType="none"/>
    </fill>
    <fill>
      <patternFill patternType="gray125"/>
    </fill>
    <fill>
      <patternFill patternType="solid">
        <fgColor rgb="FFD9D9D9"/>
      </patternFill>
    </fill>
    <fill>
      <patternFill patternType="solid">
        <f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center" wrapText="1"/>
    </xf>
    <xf numFmtId="0" fontId="0" fillId="3" borderId="1" xfId="0" applyFill="1" applyBorder="1" applyAlignment="1" applyProtection="1">
      <alignment horizontal="center" vertical="center" wrapText="1"/>
      <protection locked="0"/>
    </xf>
    <xf numFmtId="0" fontId="0" fillId="3" borderId="1" xfId="0" applyFill="1" applyBorder="1" applyAlignment="1" applyProtection="1">
      <alignment vertical="top" wrapText="1"/>
      <protection locked="0"/>
    </xf>
    <xf numFmtId="0" fontId="1"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5"/>
  <sheetViews>
    <sheetView workbookViewId="0"/>
  </sheetViews>
  <sheetFormatPr defaultColWidth="30" defaultRowHeight="14.25" x14ac:dyDescent="0.25"/>
  <cols>
    <col min="1" max="1" width="40" customWidth="1"/>
    <col min="2" max="4" width="45" customWidth="1"/>
  </cols>
  <sheetData>
    <row r="1" spans="1:4" x14ac:dyDescent="0.25">
      <c r="A1" s="1" t="s">
        <v>0</v>
      </c>
    </row>
    <row r="3" spans="1:4" x14ac:dyDescent="0.25">
      <c r="A3" s="1" t="s">
        <v>1</v>
      </c>
      <c r="B3" s="1" t="s">
        <v>2</v>
      </c>
      <c r="C3" s="1" t="s">
        <v>3</v>
      </c>
      <c r="D3" s="1" t="s">
        <v>4</v>
      </c>
    </row>
    <row r="4" spans="1:4" ht="210" customHeight="1" x14ac:dyDescent="0.25">
      <c r="B4" s="2" t="s">
        <v>5</v>
      </c>
      <c r="C4" s="2" t="s">
        <v>6</v>
      </c>
      <c r="D4" s="2" t="s">
        <v>7</v>
      </c>
    </row>
    <row r="6" spans="1:4" x14ac:dyDescent="0.25">
      <c r="A6" s="1" t="s">
        <v>1</v>
      </c>
      <c r="B6" s="1" t="s">
        <v>8</v>
      </c>
      <c r="C6" s="1" t="s">
        <v>9</v>
      </c>
      <c r="D6" s="1" t="s">
        <v>10</v>
      </c>
    </row>
    <row r="7" spans="1:4" ht="60" customHeight="1" x14ac:dyDescent="0.25">
      <c r="A7" s="2" t="s">
        <v>11</v>
      </c>
      <c r="B7" s="2" t="s">
        <v>12</v>
      </c>
    </row>
    <row r="8" spans="1:4" ht="60" customHeight="1" x14ac:dyDescent="0.25">
      <c r="A8" s="2" t="s">
        <v>13</v>
      </c>
      <c r="B8" s="2" t="s">
        <v>14</v>
      </c>
    </row>
    <row r="9" spans="1:4" ht="60" customHeight="1" x14ac:dyDescent="0.25">
      <c r="A9" s="2" t="s">
        <v>15</v>
      </c>
      <c r="B9" s="2" t="s">
        <v>16</v>
      </c>
    </row>
    <row r="10" spans="1:4" ht="60" customHeight="1" x14ac:dyDescent="0.25">
      <c r="A10" s="2" t="s">
        <v>17</v>
      </c>
      <c r="B10" s="2" t="s">
        <v>18</v>
      </c>
    </row>
    <row r="11" spans="1:4" ht="60" customHeight="1" x14ac:dyDescent="0.25">
      <c r="A11" s="2" t="s">
        <v>19</v>
      </c>
      <c r="B11" s="2" t="s">
        <v>20</v>
      </c>
    </row>
    <row r="12" spans="1:4" ht="105" customHeight="1" x14ac:dyDescent="0.25">
      <c r="A12" s="2" t="s">
        <v>21</v>
      </c>
      <c r="B12" s="2" t="s">
        <v>22</v>
      </c>
    </row>
    <row r="13" spans="1:4" ht="75" customHeight="1" x14ac:dyDescent="0.25">
      <c r="A13" s="2" t="s">
        <v>23</v>
      </c>
      <c r="B13" s="5" t="s">
        <v>1</v>
      </c>
    </row>
    <row r="14" spans="1:4" ht="60" customHeight="1" x14ac:dyDescent="0.25">
      <c r="A14" s="2" t="s">
        <v>24</v>
      </c>
      <c r="B14" s="2" t="s">
        <v>25</v>
      </c>
    </row>
    <row r="16" spans="1:4" x14ac:dyDescent="0.25">
      <c r="A16" s="1" t="s">
        <v>1</v>
      </c>
      <c r="B16" s="1" t="s">
        <v>26</v>
      </c>
      <c r="C16" s="1" t="s">
        <v>27</v>
      </c>
      <c r="D16" s="1" t="s">
        <v>28</v>
      </c>
    </row>
    <row r="17" spans="1:4" x14ac:dyDescent="0.25">
      <c r="A17" s="3" t="s">
        <v>29</v>
      </c>
      <c r="B17" s="2" t="s">
        <v>30</v>
      </c>
      <c r="C17" s="2" t="s">
        <v>31</v>
      </c>
      <c r="D17" s="2" t="s">
        <v>32</v>
      </c>
    </row>
    <row r="18" spans="1:4" ht="45" customHeight="1" x14ac:dyDescent="0.25">
      <c r="A18" s="3" t="s">
        <v>33</v>
      </c>
      <c r="B18" s="2" t="s">
        <v>34</v>
      </c>
      <c r="C18" s="2" t="s">
        <v>35</v>
      </c>
      <c r="D18" s="2" t="s">
        <v>36</v>
      </c>
    </row>
    <row r="19" spans="1:4" ht="45" customHeight="1" x14ac:dyDescent="0.25">
      <c r="A19" s="3" t="s">
        <v>37</v>
      </c>
      <c r="B19" s="2" t="s">
        <v>38</v>
      </c>
      <c r="C19" s="2" t="s">
        <v>39</v>
      </c>
      <c r="D19" s="2" t="s">
        <v>40</v>
      </c>
    </row>
    <row r="20" spans="1:4" ht="60" customHeight="1" x14ac:dyDescent="0.25">
      <c r="A20" s="3" t="s">
        <v>41</v>
      </c>
      <c r="B20" s="2" t="s">
        <v>42</v>
      </c>
      <c r="C20" s="2" t="s">
        <v>43</v>
      </c>
      <c r="D20" s="2" t="s">
        <v>44</v>
      </c>
    </row>
    <row r="21" spans="1:4" ht="60" customHeight="1" x14ac:dyDescent="0.25">
      <c r="A21" s="3" t="s">
        <v>45</v>
      </c>
      <c r="B21" s="2" t="s">
        <v>46</v>
      </c>
      <c r="C21" s="2" t="s">
        <v>47</v>
      </c>
      <c r="D21" s="2" t="s">
        <v>48</v>
      </c>
    </row>
    <row r="22" spans="1:4" ht="60" customHeight="1" x14ac:dyDescent="0.25">
      <c r="A22" s="3" t="s">
        <v>49</v>
      </c>
      <c r="B22" s="2" t="s">
        <v>50</v>
      </c>
      <c r="C22" s="2" t="s">
        <v>51</v>
      </c>
      <c r="D22" s="2" t="s">
        <v>52</v>
      </c>
    </row>
    <row r="23" spans="1:4" ht="105" customHeight="1" x14ac:dyDescent="0.25">
      <c r="B23" s="2" t="s">
        <v>53</v>
      </c>
      <c r="C23" s="2" t="s">
        <v>54</v>
      </c>
      <c r="D23" s="2" t="s">
        <v>55</v>
      </c>
    </row>
    <row r="24" spans="1:4" ht="105" customHeight="1" x14ac:dyDescent="0.25">
      <c r="B24" s="2" t="s">
        <v>56</v>
      </c>
      <c r="C24" s="2" t="s">
        <v>57</v>
      </c>
      <c r="D24" s="2" t="s">
        <v>58</v>
      </c>
    </row>
    <row r="25" spans="1:4" ht="90" customHeight="1" x14ac:dyDescent="0.25">
      <c r="B25" s="2" t="s">
        <v>59</v>
      </c>
      <c r="C25" s="2" t="s">
        <v>60</v>
      </c>
      <c r="D25" s="2" t="s">
        <v>61</v>
      </c>
    </row>
    <row r="27" spans="1:4" x14ac:dyDescent="0.25">
      <c r="A27" s="1" t="s">
        <v>1</v>
      </c>
      <c r="B27" s="1" t="s">
        <v>62</v>
      </c>
      <c r="C27" s="1" t="s">
        <v>63</v>
      </c>
      <c r="D27" s="1" t="s">
        <v>64</v>
      </c>
    </row>
    <row r="28" spans="1:4" x14ac:dyDescent="0.25">
      <c r="A28" s="3" t="s">
        <v>29</v>
      </c>
      <c r="B28" s="2" t="s">
        <v>65</v>
      </c>
      <c r="C28" s="2" t="s">
        <v>66</v>
      </c>
      <c r="D28" s="2" t="s">
        <v>67</v>
      </c>
    </row>
    <row r="29" spans="1:4" ht="28.5" x14ac:dyDescent="0.25">
      <c r="A29" s="6" t="s">
        <v>1</v>
      </c>
      <c r="B29" s="6" t="s">
        <v>68</v>
      </c>
      <c r="C29" s="6" t="s">
        <v>69</v>
      </c>
      <c r="D29" s="6" t="s">
        <v>70</v>
      </c>
    </row>
    <row r="30" spans="1:4" x14ac:dyDescent="0.25">
      <c r="A30" s="3" t="s">
        <v>71</v>
      </c>
      <c r="B30" s="2" t="s">
        <v>72</v>
      </c>
      <c r="C30" s="2" t="s">
        <v>73</v>
      </c>
      <c r="D30" s="2" t="s">
        <v>74</v>
      </c>
    </row>
    <row r="31" spans="1:4" x14ac:dyDescent="0.25">
      <c r="A31" s="3" t="s">
        <v>75</v>
      </c>
      <c r="B31" s="2" t="s">
        <v>76</v>
      </c>
      <c r="C31" s="2" t="s">
        <v>77</v>
      </c>
      <c r="D31" s="2" t="s">
        <v>78</v>
      </c>
    </row>
    <row r="32" spans="1:4" x14ac:dyDescent="0.25">
      <c r="A32" s="3" t="s">
        <v>79</v>
      </c>
      <c r="B32" s="2" t="s">
        <v>80</v>
      </c>
      <c r="C32" s="2" t="s">
        <v>81</v>
      </c>
      <c r="D32" s="2" t="s">
        <v>82</v>
      </c>
    </row>
    <row r="33" spans="1:4" ht="28.5" x14ac:dyDescent="0.25">
      <c r="A33" s="6" t="s">
        <v>1</v>
      </c>
      <c r="B33" s="6" t="s">
        <v>83</v>
      </c>
      <c r="C33" s="6" t="s">
        <v>84</v>
      </c>
      <c r="D33" s="6" t="s">
        <v>85</v>
      </c>
    </row>
    <row r="34" spans="1:4" x14ac:dyDescent="0.25">
      <c r="A34" s="3" t="s">
        <v>33</v>
      </c>
      <c r="B34" s="2" t="s">
        <v>86</v>
      </c>
      <c r="C34" s="2" t="s">
        <v>87</v>
      </c>
      <c r="D34" s="2" t="s">
        <v>88</v>
      </c>
    </row>
    <row r="35" spans="1:4" x14ac:dyDescent="0.25">
      <c r="A35" s="3" t="s">
        <v>37</v>
      </c>
      <c r="B35" s="2" t="s">
        <v>89</v>
      </c>
      <c r="C35" s="2" t="s">
        <v>90</v>
      </c>
      <c r="D35" s="2" t="s">
        <v>91</v>
      </c>
    </row>
    <row r="36" spans="1:4" x14ac:dyDescent="0.25">
      <c r="A36" s="3" t="s">
        <v>45</v>
      </c>
      <c r="B36" s="2" t="s">
        <v>92</v>
      </c>
      <c r="C36" s="2" t="s">
        <v>93</v>
      </c>
      <c r="D36" s="2" t="s">
        <v>94</v>
      </c>
    </row>
    <row r="37" spans="1:4" x14ac:dyDescent="0.25">
      <c r="A37" s="3" t="s">
        <v>41</v>
      </c>
      <c r="B37" s="2" t="s">
        <v>95</v>
      </c>
      <c r="C37" s="2" t="s">
        <v>96</v>
      </c>
      <c r="D37" s="2" t="s">
        <v>97</v>
      </c>
    </row>
    <row r="38" spans="1:4" x14ac:dyDescent="0.25">
      <c r="A38" s="3" t="s">
        <v>49</v>
      </c>
      <c r="B38" s="2" t="s">
        <v>98</v>
      </c>
      <c r="C38" s="2" t="s">
        <v>99</v>
      </c>
      <c r="D38" s="2" t="s">
        <v>100</v>
      </c>
    </row>
    <row r="39" spans="1:4" ht="28.5" x14ac:dyDescent="0.25">
      <c r="A39" s="6" t="s">
        <v>1</v>
      </c>
      <c r="B39" s="6" t="s">
        <v>101</v>
      </c>
      <c r="C39" s="6" t="s">
        <v>102</v>
      </c>
      <c r="D39" s="6" t="s">
        <v>103</v>
      </c>
    </row>
    <row r="40" spans="1:4" x14ac:dyDescent="0.25">
      <c r="A40" s="3" t="s">
        <v>104</v>
      </c>
      <c r="B40" s="2" t="s">
        <v>105</v>
      </c>
      <c r="C40" s="2" t="s">
        <v>106</v>
      </c>
      <c r="D40" s="2" t="s">
        <v>107</v>
      </c>
    </row>
    <row r="41" spans="1:4" x14ac:dyDescent="0.25">
      <c r="A41" s="3" t="s">
        <v>108</v>
      </c>
      <c r="B41" s="2" t="s">
        <v>109</v>
      </c>
      <c r="C41" s="2" t="s">
        <v>110</v>
      </c>
      <c r="D41" s="2" t="s">
        <v>111</v>
      </c>
    </row>
    <row r="42" spans="1:4" x14ac:dyDescent="0.25">
      <c r="A42" s="3" t="s">
        <v>112</v>
      </c>
      <c r="B42" s="2" t="s">
        <v>113</v>
      </c>
      <c r="C42" s="2" t="s">
        <v>114</v>
      </c>
      <c r="D42" s="2" t="s">
        <v>115</v>
      </c>
    </row>
    <row r="43" spans="1:4" ht="28.5" x14ac:dyDescent="0.25">
      <c r="A43" s="6" t="s">
        <v>1</v>
      </c>
      <c r="B43" s="6" t="s">
        <v>116</v>
      </c>
      <c r="C43" s="6" t="s">
        <v>117</v>
      </c>
      <c r="D43" s="6" t="s">
        <v>118</v>
      </c>
    </row>
    <row r="44" spans="1:4" x14ac:dyDescent="0.25">
      <c r="A44" s="3" t="s">
        <v>119</v>
      </c>
      <c r="B44" s="2" t="s">
        <v>120</v>
      </c>
      <c r="C44" s="2" t="s">
        <v>121</v>
      </c>
      <c r="D44" s="2" t="s">
        <v>122</v>
      </c>
    </row>
    <row r="45" spans="1:4" x14ac:dyDescent="0.25">
      <c r="A45" s="3" t="s">
        <v>123</v>
      </c>
      <c r="B45" s="2" t="s">
        <v>124</v>
      </c>
      <c r="C45" s="2" t="s">
        <v>125</v>
      </c>
      <c r="D45" s="2" t="s">
        <v>126</v>
      </c>
    </row>
    <row r="46" spans="1:4" x14ac:dyDescent="0.25">
      <c r="A46" s="3" t="s">
        <v>127</v>
      </c>
      <c r="B46" s="2" t="s">
        <v>128</v>
      </c>
      <c r="C46" s="2" t="s">
        <v>129</v>
      </c>
      <c r="D46" s="2" t="s">
        <v>130</v>
      </c>
    </row>
    <row r="47" spans="1:4" x14ac:dyDescent="0.25">
      <c r="A47" s="6" t="s">
        <v>1</v>
      </c>
      <c r="B47" s="6" t="s">
        <v>131</v>
      </c>
      <c r="C47" s="6" t="s">
        <v>132</v>
      </c>
      <c r="D47" s="6" t="s">
        <v>133</v>
      </c>
    </row>
    <row r="48" spans="1:4" x14ac:dyDescent="0.25">
      <c r="A48" s="3" t="s">
        <v>134</v>
      </c>
      <c r="B48" s="2" t="s">
        <v>135</v>
      </c>
      <c r="C48" s="2" t="s">
        <v>136</v>
      </c>
      <c r="D48" s="2" t="s">
        <v>137</v>
      </c>
    </row>
    <row r="49" spans="1:4" x14ac:dyDescent="0.25">
      <c r="A49" s="3" t="s">
        <v>138</v>
      </c>
      <c r="B49" s="2" t="s">
        <v>139</v>
      </c>
      <c r="C49" s="2" t="s">
        <v>140</v>
      </c>
      <c r="D49" s="2" t="s">
        <v>115</v>
      </c>
    </row>
    <row r="50" spans="1:4" x14ac:dyDescent="0.25">
      <c r="A50" s="6" t="s">
        <v>1</v>
      </c>
      <c r="B50" s="6" t="s">
        <v>141</v>
      </c>
      <c r="C50" s="6" t="s">
        <v>142</v>
      </c>
      <c r="D50" s="6" t="s">
        <v>143</v>
      </c>
    </row>
    <row r="51" spans="1:4" x14ac:dyDescent="0.25">
      <c r="A51" s="3" t="s">
        <v>144</v>
      </c>
      <c r="B51" s="2" t="s">
        <v>145</v>
      </c>
      <c r="C51" s="2" t="s">
        <v>146</v>
      </c>
      <c r="D51" s="2" t="s">
        <v>147</v>
      </c>
    </row>
    <row r="52" spans="1:4" x14ac:dyDescent="0.25">
      <c r="A52" s="3" t="s">
        <v>148</v>
      </c>
      <c r="B52" s="2" t="s">
        <v>149</v>
      </c>
      <c r="C52" s="2" t="s">
        <v>150</v>
      </c>
      <c r="D52" s="2" t="s">
        <v>151</v>
      </c>
    </row>
    <row r="53" spans="1:4" ht="28.5" x14ac:dyDescent="0.25">
      <c r="A53" s="3" t="s">
        <v>152</v>
      </c>
      <c r="B53" s="2" t="s">
        <v>153</v>
      </c>
      <c r="C53" s="2" t="s">
        <v>154</v>
      </c>
      <c r="D53" s="2" t="s">
        <v>155</v>
      </c>
    </row>
    <row r="54" spans="1:4" ht="28.5" x14ac:dyDescent="0.25">
      <c r="A54" s="6" t="s">
        <v>1</v>
      </c>
      <c r="B54" s="6" t="s">
        <v>156</v>
      </c>
      <c r="C54" s="6" t="s">
        <v>157</v>
      </c>
      <c r="D54" s="6" t="s">
        <v>158</v>
      </c>
    </row>
    <row r="55" spans="1:4" x14ac:dyDescent="0.25">
      <c r="A55" s="3" t="s">
        <v>159</v>
      </c>
      <c r="B55" s="2" t="s">
        <v>160</v>
      </c>
      <c r="C55" s="2" t="s">
        <v>161</v>
      </c>
      <c r="D55" s="2" t="s">
        <v>162</v>
      </c>
    </row>
    <row r="56" spans="1:4" x14ac:dyDescent="0.25">
      <c r="A56" s="3" t="s">
        <v>163</v>
      </c>
      <c r="B56" s="2" t="s">
        <v>164</v>
      </c>
      <c r="C56" s="2" t="s">
        <v>165</v>
      </c>
      <c r="D56" s="2" t="s">
        <v>166</v>
      </c>
    </row>
    <row r="57" spans="1:4" x14ac:dyDescent="0.25">
      <c r="A57" s="3" t="s">
        <v>167</v>
      </c>
      <c r="B57" s="2" t="s">
        <v>168</v>
      </c>
      <c r="C57" s="2" t="s">
        <v>169</v>
      </c>
      <c r="D57" s="2" t="s">
        <v>170</v>
      </c>
    </row>
    <row r="58" spans="1:4" x14ac:dyDescent="0.25">
      <c r="A58" s="3" t="s">
        <v>171</v>
      </c>
      <c r="B58" s="2" t="s">
        <v>172</v>
      </c>
      <c r="C58" s="2" t="s">
        <v>173</v>
      </c>
      <c r="D58" s="2" t="s">
        <v>174</v>
      </c>
    </row>
    <row r="59" spans="1:4" x14ac:dyDescent="0.25">
      <c r="A59" s="3" t="s">
        <v>175</v>
      </c>
      <c r="B59" s="2" t="s">
        <v>176</v>
      </c>
      <c r="C59" s="2" t="s">
        <v>177</v>
      </c>
      <c r="D59" s="2" t="s">
        <v>178</v>
      </c>
    </row>
    <row r="61" spans="1:4" x14ac:dyDescent="0.25">
      <c r="A61" s="1" t="s">
        <v>1</v>
      </c>
      <c r="B61" s="1" t="s">
        <v>179</v>
      </c>
      <c r="C61" s="1" t="s">
        <v>180</v>
      </c>
      <c r="D61" s="1" t="s">
        <v>181</v>
      </c>
    </row>
    <row r="62" spans="1:4" ht="409.6" customHeight="1" x14ac:dyDescent="0.25">
      <c r="B62" s="2" t="s">
        <v>182</v>
      </c>
      <c r="C62" s="2" t="s">
        <v>183</v>
      </c>
      <c r="D62" s="2" t="s">
        <v>184</v>
      </c>
    </row>
    <row r="64" spans="1:4" x14ac:dyDescent="0.25">
      <c r="A64" s="1" t="s">
        <v>1</v>
      </c>
      <c r="B64" s="1" t="s">
        <v>185</v>
      </c>
      <c r="C64" s="1" t="s">
        <v>186</v>
      </c>
      <c r="D64" s="1" t="s">
        <v>187</v>
      </c>
    </row>
    <row r="65" spans="2:4" ht="409.6" customHeight="1" x14ac:dyDescent="0.25">
      <c r="B65" s="2" t="s">
        <v>188</v>
      </c>
      <c r="C65" s="2" t="s">
        <v>189</v>
      </c>
      <c r="D65" s="2" t="s">
        <v>190</v>
      </c>
    </row>
  </sheetData>
  <sheetProtection sheet="1" objects="1" scenarios="1" formatColumns="0" formatRows="0"/>
  <pageMargins left="0.5" right="0.5"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6"/>
  <sheetViews>
    <sheetView zoomScale="145" zoomScaleNormal="145" workbookViewId="0">
      <pane xSplit="2" ySplit="1" topLeftCell="F26" activePane="bottomRight" state="frozen"/>
      <selection pane="topRight"/>
      <selection pane="bottomLeft"/>
      <selection pane="bottomRight" activeCell="L36" sqref="L36"/>
    </sheetView>
  </sheetViews>
  <sheetFormatPr defaultRowHeight="14.25" x14ac:dyDescent="0.25"/>
  <cols>
    <col min="1" max="1" width="14" customWidth="1"/>
    <col min="2" max="2" width="9" customWidth="1"/>
    <col min="3" max="3" width="8" customWidth="1"/>
    <col min="4" max="4" width="16" customWidth="1"/>
    <col min="5" max="5" width="71.7109375" customWidth="1"/>
    <col min="6" max="6" width="55" customWidth="1"/>
    <col min="7" max="8" width="9" customWidth="1"/>
    <col min="9" max="9" width="20" customWidth="1"/>
    <col min="10" max="10" width="22" customWidth="1"/>
    <col min="11" max="11" width="14" customWidth="1"/>
    <col min="12" max="12" width="30" customWidth="1"/>
    <col min="13" max="13" width="24" customWidth="1"/>
  </cols>
  <sheetData>
    <row r="1" spans="1:13" ht="74.25" customHeight="1" x14ac:dyDescent="0.25">
      <c r="A1" s="1" t="s">
        <v>191</v>
      </c>
      <c r="B1" s="1" t="s">
        <v>192</v>
      </c>
      <c r="C1" s="1" t="s">
        <v>193</v>
      </c>
      <c r="D1" s="1" t="s">
        <v>194</v>
      </c>
      <c r="E1" s="1" t="s">
        <v>195</v>
      </c>
      <c r="F1" s="1" t="s">
        <v>196</v>
      </c>
      <c r="G1" s="1" t="s">
        <v>197</v>
      </c>
      <c r="H1" s="1" t="s">
        <v>198</v>
      </c>
      <c r="I1" s="1" t="s">
        <v>199</v>
      </c>
      <c r="J1" s="1" t="s">
        <v>200</v>
      </c>
      <c r="K1" s="1" t="s">
        <v>201</v>
      </c>
      <c r="L1" s="1" t="s">
        <v>202</v>
      </c>
      <c r="M1" s="1" t="s">
        <v>203</v>
      </c>
    </row>
    <row r="2" spans="1:13" ht="28.5" x14ac:dyDescent="0.25">
      <c r="A2" s="3" t="s">
        <v>204</v>
      </c>
      <c r="B2" s="3" t="s">
        <v>205</v>
      </c>
      <c r="C2" s="3">
        <v>1</v>
      </c>
      <c r="D2" s="3" t="s">
        <v>206</v>
      </c>
      <c r="E2" s="2" t="s">
        <v>207</v>
      </c>
      <c r="F2" s="2" t="s">
        <v>208</v>
      </c>
      <c r="G2" s="3">
        <v>8</v>
      </c>
      <c r="H2" s="3">
        <v>2</v>
      </c>
      <c r="I2" s="4" t="s">
        <v>505</v>
      </c>
      <c r="J2" s="4" t="s">
        <v>507</v>
      </c>
      <c r="K2" s="4" t="s">
        <v>509</v>
      </c>
      <c r="L2" s="3"/>
      <c r="M2" s="5"/>
    </row>
    <row r="3" spans="1:13" ht="142.5" x14ac:dyDescent="0.25">
      <c r="A3" s="3" t="s">
        <v>209</v>
      </c>
      <c r="B3" s="3" t="s">
        <v>205</v>
      </c>
      <c r="C3" s="3">
        <v>2</v>
      </c>
      <c r="D3" s="3" t="s">
        <v>210</v>
      </c>
      <c r="E3" s="2" t="s">
        <v>207</v>
      </c>
      <c r="F3" s="2" t="s">
        <v>211</v>
      </c>
      <c r="G3" s="3">
        <v>47</v>
      </c>
      <c r="H3" s="3">
        <v>5</v>
      </c>
      <c r="I3" s="4" t="s">
        <v>505</v>
      </c>
      <c r="J3" s="4" t="s">
        <v>508</v>
      </c>
      <c r="K3" s="4" t="s">
        <v>509</v>
      </c>
      <c r="L3" s="3"/>
      <c r="M3" s="5"/>
    </row>
    <row r="4" spans="1:13" ht="185.25" x14ac:dyDescent="0.25">
      <c r="A4" s="3" t="s">
        <v>212</v>
      </c>
      <c r="B4" s="3" t="s">
        <v>205</v>
      </c>
      <c r="C4" s="3">
        <v>3</v>
      </c>
      <c r="D4" s="3" t="s">
        <v>213</v>
      </c>
      <c r="E4" s="2" t="s">
        <v>207</v>
      </c>
      <c r="F4" s="2" t="s">
        <v>214</v>
      </c>
      <c r="G4" s="3">
        <v>47</v>
      </c>
      <c r="H4" s="3">
        <v>7</v>
      </c>
      <c r="I4" s="4" t="s">
        <v>505</v>
      </c>
      <c r="J4" s="4" t="s">
        <v>508</v>
      </c>
      <c r="K4" s="4" t="s">
        <v>509</v>
      </c>
      <c r="L4" s="3"/>
      <c r="M4" s="5"/>
    </row>
    <row r="5" spans="1:13" ht="28.5" x14ac:dyDescent="0.25">
      <c r="A5" s="3" t="s">
        <v>215</v>
      </c>
      <c r="B5" s="3" t="s">
        <v>205</v>
      </c>
      <c r="C5" s="3">
        <v>4</v>
      </c>
      <c r="D5" s="3" t="s">
        <v>216</v>
      </c>
      <c r="E5" s="2" t="s">
        <v>207</v>
      </c>
      <c r="F5" s="2" t="s">
        <v>217</v>
      </c>
      <c r="G5" s="3">
        <v>10</v>
      </c>
      <c r="H5" s="3">
        <v>4</v>
      </c>
      <c r="I5" s="4" t="s">
        <v>505</v>
      </c>
      <c r="J5" s="4" t="s">
        <v>506</v>
      </c>
      <c r="K5" s="4" t="s">
        <v>509</v>
      </c>
      <c r="L5" s="3"/>
      <c r="M5" s="5"/>
    </row>
    <row r="6" spans="1:13" ht="71.25" x14ac:dyDescent="0.25">
      <c r="A6" s="3" t="s">
        <v>218</v>
      </c>
      <c r="B6" s="3" t="s">
        <v>205</v>
      </c>
      <c r="C6" s="3">
        <v>5</v>
      </c>
      <c r="D6" s="3" t="s">
        <v>219</v>
      </c>
      <c r="E6" s="2" t="s">
        <v>207</v>
      </c>
      <c r="F6" s="2" t="s">
        <v>220</v>
      </c>
      <c r="G6" s="3">
        <v>12</v>
      </c>
      <c r="H6" s="3">
        <v>5</v>
      </c>
      <c r="I6" s="4" t="s">
        <v>505</v>
      </c>
      <c r="J6" s="4" t="s">
        <v>507</v>
      </c>
      <c r="K6" s="4" t="s">
        <v>509</v>
      </c>
      <c r="L6" s="3"/>
      <c r="M6" s="5"/>
    </row>
    <row r="7" spans="1:13" ht="42.75" x14ac:dyDescent="0.25">
      <c r="A7" s="3" t="s">
        <v>221</v>
      </c>
      <c r="B7" s="3" t="s">
        <v>222</v>
      </c>
      <c r="C7" s="3">
        <v>1</v>
      </c>
      <c r="D7" s="3" t="s">
        <v>206</v>
      </c>
      <c r="E7" s="2" t="s">
        <v>223</v>
      </c>
      <c r="F7" s="2" t="s">
        <v>224</v>
      </c>
      <c r="G7" s="3">
        <v>8</v>
      </c>
      <c r="H7" s="3">
        <v>2</v>
      </c>
      <c r="I7" s="4" t="s">
        <v>505</v>
      </c>
      <c r="J7" s="4" t="s">
        <v>506</v>
      </c>
      <c r="K7" s="4" t="s">
        <v>509</v>
      </c>
      <c r="L7" s="3"/>
      <c r="M7" s="5"/>
    </row>
    <row r="8" spans="1:13" ht="71.25" x14ac:dyDescent="0.25">
      <c r="A8" s="3" t="s">
        <v>225</v>
      </c>
      <c r="B8" s="3" t="s">
        <v>222</v>
      </c>
      <c r="C8" s="3">
        <v>2</v>
      </c>
      <c r="D8" s="3" t="s">
        <v>210</v>
      </c>
      <c r="E8" s="2" t="s">
        <v>223</v>
      </c>
      <c r="F8" s="2" t="s">
        <v>226</v>
      </c>
      <c r="G8" s="3">
        <v>32</v>
      </c>
      <c r="H8" s="3">
        <v>2</v>
      </c>
      <c r="I8" s="4" t="s">
        <v>505</v>
      </c>
      <c r="J8" s="4" t="s">
        <v>508</v>
      </c>
      <c r="K8" s="4" t="s">
        <v>509</v>
      </c>
      <c r="L8" s="3"/>
      <c r="M8" s="5"/>
    </row>
    <row r="9" spans="1:13" ht="71.25" x14ac:dyDescent="0.25">
      <c r="A9" s="3" t="s">
        <v>227</v>
      </c>
      <c r="B9" s="3" t="s">
        <v>222</v>
      </c>
      <c r="C9" s="3">
        <v>3</v>
      </c>
      <c r="D9" s="3" t="s">
        <v>213</v>
      </c>
      <c r="E9" s="2" t="s">
        <v>223</v>
      </c>
      <c r="F9" s="2" t="s">
        <v>228</v>
      </c>
      <c r="G9" s="3">
        <v>28</v>
      </c>
      <c r="H9" s="3">
        <v>3</v>
      </c>
      <c r="I9" s="4" t="s">
        <v>505</v>
      </c>
      <c r="J9" s="4" t="s">
        <v>508</v>
      </c>
      <c r="K9" s="4" t="s">
        <v>509</v>
      </c>
      <c r="L9" s="3"/>
      <c r="M9" s="5"/>
    </row>
    <row r="10" spans="1:13" ht="71.25" x14ac:dyDescent="0.25">
      <c r="A10" s="3" t="s">
        <v>229</v>
      </c>
      <c r="B10" s="3" t="s">
        <v>222</v>
      </c>
      <c r="C10" s="3">
        <v>4</v>
      </c>
      <c r="D10" s="3" t="s">
        <v>216</v>
      </c>
      <c r="E10" s="2" t="s">
        <v>223</v>
      </c>
      <c r="F10" s="2" t="s">
        <v>230</v>
      </c>
      <c r="G10" s="3">
        <v>23</v>
      </c>
      <c r="H10" s="3">
        <v>3</v>
      </c>
      <c r="I10" s="4" t="s">
        <v>505</v>
      </c>
      <c r="J10" s="4" t="s">
        <v>508</v>
      </c>
      <c r="K10" s="4" t="s">
        <v>509</v>
      </c>
      <c r="L10" s="3"/>
      <c r="M10" s="5"/>
    </row>
    <row r="11" spans="1:13" ht="42.75" x14ac:dyDescent="0.25">
      <c r="A11" s="3" t="s">
        <v>231</v>
      </c>
      <c r="B11" s="3" t="s">
        <v>222</v>
      </c>
      <c r="C11" s="3">
        <v>5</v>
      </c>
      <c r="D11" s="3" t="s">
        <v>219</v>
      </c>
      <c r="E11" s="2" t="s">
        <v>223</v>
      </c>
      <c r="F11" s="2" t="s">
        <v>232</v>
      </c>
      <c r="G11" s="3">
        <v>2</v>
      </c>
      <c r="H11" s="3">
        <v>1</v>
      </c>
      <c r="I11" s="4" t="s">
        <v>510</v>
      </c>
      <c r="J11" s="4" t="s">
        <v>507</v>
      </c>
      <c r="K11" s="4" t="s">
        <v>509</v>
      </c>
      <c r="L11" s="3"/>
      <c r="M11" s="5"/>
    </row>
    <row r="12" spans="1:13" ht="28.5" x14ac:dyDescent="0.25">
      <c r="A12" s="3" t="s">
        <v>233</v>
      </c>
      <c r="B12" s="3" t="s">
        <v>234</v>
      </c>
      <c r="C12" s="3">
        <v>1</v>
      </c>
      <c r="D12" s="3" t="s">
        <v>206</v>
      </c>
      <c r="E12" s="2" t="s">
        <v>235</v>
      </c>
      <c r="F12" s="2" t="s">
        <v>236</v>
      </c>
      <c r="G12" s="3">
        <v>8</v>
      </c>
      <c r="H12" s="3">
        <v>1</v>
      </c>
      <c r="I12" s="4" t="s">
        <v>505</v>
      </c>
      <c r="J12" s="4" t="s">
        <v>508</v>
      </c>
      <c r="K12" s="4" t="s">
        <v>509</v>
      </c>
      <c r="L12" s="3"/>
      <c r="M12" s="5"/>
    </row>
    <row r="13" spans="1:13" ht="57" x14ac:dyDescent="0.25">
      <c r="A13" s="3" t="s">
        <v>237</v>
      </c>
      <c r="B13" s="3" t="s">
        <v>234</v>
      </c>
      <c r="C13" s="3">
        <v>2</v>
      </c>
      <c r="D13" s="3" t="s">
        <v>210</v>
      </c>
      <c r="E13" s="2" t="s">
        <v>235</v>
      </c>
      <c r="F13" s="2" t="s">
        <v>238</v>
      </c>
      <c r="G13" s="3">
        <v>18</v>
      </c>
      <c r="H13" s="3">
        <v>3</v>
      </c>
      <c r="I13" s="4" t="s">
        <v>505</v>
      </c>
      <c r="J13" s="4" t="s">
        <v>508</v>
      </c>
      <c r="K13" s="4" t="s">
        <v>509</v>
      </c>
      <c r="L13" s="3"/>
      <c r="M13" s="5"/>
    </row>
    <row r="14" spans="1:13" ht="71.25" x14ac:dyDescent="0.25">
      <c r="A14" s="3" t="s">
        <v>239</v>
      </c>
      <c r="B14" s="3" t="s">
        <v>234</v>
      </c>
      <c r="C14" s="3">
        <v>3</v>
      </c>
      <c r="D14" s="3" t="s">
        <v>213</v>
      </c>
      <c r="E14" s="2" t="s">
        <v>235</v>
      </c>
      <c r="F14" s="2" t="s">
        <v>240</v>
      </c>
      <c r="G14" s="3">
        <v>17</v>
      </c>
      <c r="H14" s="3">
        <v>3</v>
      </c>
      <c r="I14" s="4" t="s">
        <v>505</v>
      </c>
      <c r="J14" s="4" t="s">
        <v>508</v>
      </c>
      <c r="K14" s="4" t="s">
        <v>509</v>
      </c>
      <c r="L14" s="3"/>
      <c r="M14" s="5"/>
    </row>
    <row r="15" spans="1:13" ht="71.25" x14ac:dyDescent="0.25">
      <c r="A15" s="3" t="s">
        <v>241</v>
      </c>
      <c r="B15" s="3" t="s">
        <v>234</v>
      </c>
      <c r="C15" s="3">
        <v>4</v>
      </c>
      <c r="D15" s="3" t="s">
        <v>216</v>
      </c>
      <c r="E15" s="2" t="s">
        <v>235</v>
      </c>
      <c r="F15" s="2" t="s">
        <v>242</v>
      </c>
      <c r="G15" s="3">
        <v>24</v>
      </c>
      <c r="H15" s="3">
        <v>3</v>
      </c>
      <c r="I15" s="4" t="s">
        <v>505</v>
      </c>
      <c r="J15" s="4" t="s">
        <v>508</v>
      </c>
      <c r="K15" s="4" t="s">
        <v>509</v>
      </c>
      <c r="L15" s="3"/>
      <c r="M15" s="5"/>
    </row>
    <row r="16" spans="1:13" ht="28.5" x14ac:dyDescent="0.25">
      <c r="A16" s="3" t="s">
        <v>243</v>
      </c>
      <c r="B16" s="3" t="s">
        <v>234</v>
      </c>
      <c r="C16" s="3">
        <v>5</v>
      </c>
      <c r="D16" s="3" t="s">
        <v>219</v>
      </c>
      <c r="E16" s="2" t="s">
        <v>235</v>
      </c>
      <c r="F16" s="2" t="s">
        <v>244</v>
      </c>
      <c r="G16" s="3">
        <v>3</v>
      </c>
      <c r="H16" s="3">
        <v>2</v>
      </c>
      <c r="I16" s="4" t="s">
        <v>505</v>
      </c>
      <c r="J16" s="4" t="s">
        <v>508</v>
      </c>
      <c r="K16" s="4" t="s">
        <v>509</v>
      </c>
      <c r="L16" s="3"/>
      <c r="M16" s="5"/>
    </row>
    <row r="17" spans="1:13" ht="228" x14ac:dyDescent="0.25">
      <c r="A17" s="3" t="s">
        <v>245</v>
      </c>
      <c r="B17" s="3" t="s">
        <v>246</v>
      </c>
      <c r="C17" s="3">
        <v>1</v>
      </c>
      <c r="D17" s="3" t="s">
        <v>206</v>
      </c>
      <c r="E17" s="2" t="s">
        <v>247</v>
      </c>
      <c r="F17" s="2" t="s">
        <v>248</v>
      </c>
      <c r="G17" s="3">
        <v>62</v>
      </c>
      <c r="H17" s="3">
        <v>11</v>
      </c>
      <c r="I17" s="4" t="s">
        <v>505</v>
      </c>
      <c r="J17" s="4" t="s">
        <v>508</v>
      </c>
      <c r="K17" s="4" t="s">
        <v>509</v>
      </c>
      <c r="L17" s="3"/>
      <c r="M17" s="5"/>
    </row>
    <row r="18" spans="1:13" ht="228" x14ac:dyDescent="0.25">
      <c r="A18" s="3" t="s">
        <v>249</v>
      </c>
      <c r="B18" s="3" t="s">
        <v>246</v>
      </c>
      <c r="C18" s="3">
        <v>2</v>
      </c>
      <c r="D18" s="3" t="s">
        <v>210</v>
      </c>
      <c r="E18" s="2" t="s">
        <v>247</v>
      </c>
      <c r="F18" s="2" t="s">
        <v>250</v>
      </c>
      <c r="G18" s="3">
        <v>74</v>
      </c>
      <c r="H18" s="3">
        <v>12</v>
      </c>
      <c r="I18" s="4" t="s">
        <v>505</v>
      </c>
      <c r="J18" s="4" t="s">
        <v>508</v>
      </c>
      <c r="K18" s="4" t="s">
        <v>509</v>
      </c>
      <c r="L18" s="3"/>
      <c r="M18" s="5"/>
    </row>
    <row r="19" spans="1:13" ht="228" x14ac:dyDescent="0.25">
      <c r="A19" s="3" t="s">
        <v>251</v>
      </c>
      <c r="B19" s="3" t="s">
        <v>246</v>
      </c>
      <c r="C19" s="3">
        <v>3</v>
      </c>
      <c r="D19" s="3" t="s">
        <v>213</v>
      </c>
      <c r="E19" s="2" t="s">
        <v>247</v>
      </c>
      <c r="F19" s="2" t="s">
        <v>252</v>
      </c>
      <c r="G19" s="3">
        <v>62</v>
      </c>
      <c r="H19" s="3">
        <v>12</v>
      </c>
      <c r="I19" s="4" t="s">
        <v>505</v>
      </c>
      <c r="J19" s="4" t="s">
        <v>508</v>
      </c>
      <c r="K19" s="4" t="s">
        <v>509</v>
      </c>
      <c r="L19" s="3"/>
      <c r="M19" s="5"/>
    </row>
    <row r="20" spans="1:13" ht="228" x14ac:dyDescent="0.25">
      <c r="A20" s="3" t="s">
        <v>253</v>
      </c>
      <c r="B20" s="3" t="s">
        <v>246</v>
      </c>
      <c r="C20" s="3">
        <v>4</v>
      </c>
      <c r="D20" s="3" t="s">
        <v>216</v>
      </c>
      <c r="E20" s="2" t="s">
        <v>247</v>
      </c>
      <c r="F20" s="2" t="s">
        <v>254</v>
      </c>
      <c r="G20" s="3">
        <v>66</v>
      </c>
      <c r="H20" s="3">
        <v>13</v>
      </c>
      <c r="I20" s="4" t="s">
        <v>505</v>
      </c>
      <c r="J20" s="4" t="s">
        <v>508</v>
      </c>
      <c r="K20" s="4" t="s">
        <v>509</v>
      </c>
      <c r="L20" s="3"/>
      <c r="M20" s="5"/>
    </row>
    <row r="21" spans="1:13" ht="228" x14ac:dyDescent="0.25">
      <c r="A21" s="3" t="s">
        <v>255</v>
      </c>
      <c r="B21" s="3" t="s">
        <v>246</v>
      </c>
      <c r="C21" s="3">
        <v>5</v>
      </c>
      <c r="D21" s="3" t="s">
        <v>219</v>
      </c>
      <c r="E21" s="2" t="s">
        <v>247</v>
      </c>
      <c r="F21" s="2" t="s">
        <v>256</v>
      </c>
      <c r="G21" s="3">
        <v>61</v>
      </c>
      <c r="H21" s="3">
        <v>12</v>
      </c>
      <c r="I21" s="4" t="s">
        <v>505</v>
      </c>
      <c r="J21" s="4" t="s">
        <v>508</v>
      </c>
      <c r="K21" s="4" t="s">
        <v>509</v>
      </c>
      <c r="L21" s="3"/>
      <c r="M21" s="5"/>
    </row>
    <row r="22" spans="1:13" ht="213.75" x14ac:dyDescent="0.25">
      <c r="A22" s="3" t="s">
        <v>257</v>
      </c>
      <c r="B22" s="3" t="s">
        <v>258</v>
      </c>
      <c r="C22" s="3">
        <v>1</v>
      </c>
      <c r="D22" s="3" t="s">
        <v>206</v>
      </c>
      <c r="E22" s="2" t="s">
        <v>259</v>
      </c>
      <c r="F22" s="2" t="s">
        <v>260</v>
      </c>
      <c r="G22" s="3">
        <v>51</v>
      </c>
      <c r="H22" s="3">
        <v>11</v>
      </c>
      <c r="I22" s="4" t="s">
        <v>510</v>
      </c>
      <c r="J22" s="4" t="s">
        <v>507</v>
      </c>
      <c r="K22" s="4" t="s">
        <v>509</v>
      </c>
      <c r="L22" s="3"/>
      <c r="M22" s="5"/>
    </row>
    <row r="23" spans="1:13" ht="242.25" x14ac:dyDescent="0.25">
      <c r="A23" s="3" t="s">
        <v>261</v>
      </c>
      <c r="B23" s="3" t="s">
        <v>258</v>
      </c>
      <c r="C23" s="3">
        <v>2</v>
      </c>
      <c r="D23" s="3" t="s">
        <v>210</v>
      </c>
      <c r="E23" s="2" t="s">
        <v>259</v>
      </c>
      <c r="F23" s="2" t="s">
        <v>262</v>
      </c>
      <c r="G23" s="3">
        <v>92</v>
      </c>
      <c r="H23" s="3">
        <v>13</v>
      </c>
      <c r="I23" s="4" t="s">
        <v>505</v>
      </c>
      <c r="J23" s="4" t="s">
        <v>508</v>
      </c>
      <c r="K23" s="4" t="s">
        <v>509</v>
      </c>
      <c r="L23" s="3"/>
      <c r="M23" s="5"/>
    </row>
    <row r="24" spans="1:13" ht="213.75" x14ac:dyDescent="0.25">
      <c r="A24" s="3" t="s">
        <v>263</v>
      </c>
      <c r="B24" s="3" t="s">
        <v>258</v>
      </c>
      <c r="C24" s="3">
        <v>3</v>
      </c>
      <c r="D24" s="3" t="s">
        <v>213</v>
      </c>
      <c r="E24" s="2" t="s">
        <v>259</v>
      </c>
      <c r="F24" s="2" t="s">
        <v>264</v>
      </c>
      <c r="G24" s="3">
        <v>59</v>
      </c>
      <c r="H24" s="3">
        <v>12</v>
      </c>
      <c r="I24" s="4" t="s">
        <v>505</v>
      </c>
      <c r="J24" s="4" t="s">
        <v>508</v>
      </c>
      <c r="K24" s="4" t="s">
        <v>509</v>
      </c>
      <c r="L24" s="3"/>
      <c r="M24" s="5"/>
    </row>
    <row r="25" spans="1:13" ht="213.75" x14ac:dyDescent="0.25">
      <c r="A25" s="3" t="s">
        <v>265</v>
      </c>
      <c r="B25" s="3" t="s">
        <v>258</v>
      </c>
      <c r="C25" s="3">
        <v>4</v>
      </c>
      <c r="D25" s="3" t="s">
        <v>216</v>
      </c>
      <c r="E25" s="2" t="s">
        <v>259</v>
      </c>
      <c r="F25" s="2" t="s">
        <v>266</v>
      </c>
      <c r="G25" s="3">
        <v>56</v>
      </c>
      <c r="H25" s="3">
        <v>12</v>
      </c>
      <c r="I25" s="4" t="s">
        <v>505</v>
      </c>
      <c r="J25" s="4" t="s">
        <v>508</v>
      </c>
      <c r="K25" s="4" t="s">
        <v>509</v>
      </c>
      <c r="L25" s="3"/>
      <c r="M25" s="5"/>
    </row>
    <row r="26" spans="1:13" ht="213.75" x14ac:dyDescent="0.25">
      <c r="A26" s="3" t="s">
        <v>267</v>
      </c>
      <c r="B26" s="3" t="s">
        <v>258</v>
      </c>
      <c r="C26" s="3">
        <v>5</v>
      </c>
      <c r="D26" s="3" t="s">
        <v>219</v>
      </c>
      <c r="E26" s="2" t="s">
        <v>259</v>
      </c>
      <c r="F26" s="2" t="s">
        <v>268</v>
      </c>
      <c r="G26" s="3">
        <v>52</v>
      </c>
      <c r="H26" s="3">
        <v>11</v>
      </c>
      <c r="I26" s="4" t="s">
        <v>505</v>
      </c>
      <c r="J26" s="4" t="s">
        <v>506</v>
      </c>
      <c r="K26" s="4" t="s">
        <v>509</v>
      </c>
      <c r="L26" s="3"/>
      <c r="M26" s="5"/>
    </row>
    <row r="27" spans="1:13" ht="42.75" x14ac:dyDescent="0.25">
      <c r="A27" s="3" t="s">
        <v>269</v>
      </c>
      <c r="B27" s="3" t="s">
        <v>270</v>
      </c>
      <c r="C27" s="3">
        <v>1</v>
      </c>
      <c r="D27" s="3" t="s">
        <v>206</v>
      </c>
      <c r="E27" s="2" t="s">
        <v>271</v>
      </c>
      <c r="F27" s="2" t="s">
        <v>272</v>
      </c>
      <c r="G27" s="3">
        <v>13</v>
      </c>
      <c r="H27" s="3">
        <v>1</v>
      </c>
      <c r="I27" s="4" t="s">
        <v>505</v>
      </c>
      <c r="J27" s="4" t="s">
        <v>508</v>
      </c>
      <c r="K27" s="4" t="s">
        <v>509</v>
      </c>
      <c r="L27" s="3"/>
      <c r="M27" s="5"/>
    </row>
    <row r="28" spans="1:13" ht="85.5" x14ac:dyDescent="0.25">
      <c r="A28" s="3" t="s">
        <v>273</v>
      </c>
      <c r="B28" s="3" t="s">
        <v>270</v>
      </c>
      <c r="C28" s="3">
        <v>2</v>
      </c>
      <c r="D28" s="3" t="s">
        <v>210</v>
      </c>
      <c r="E28" s="2" t="s">
        <v>274</v>
      </c>
      <c r="F28" s="2" t="s">
        <v>275</v>
      </c>
      <c r="G28" s="3">
        <v>36</v>
      </c>
      <c r="H28" s="3">
        <v>2</v>
      </c>
      <c r="I28" s="4" t="s">
        <v>505</v>
      </c>
      <c r="J28" s="4" t="s">
        <v>508</v>
      </c>
      <c r="K28" s="4" t="s">
        <v>509</v>
      </c>
      <c r="L28" s="3"/>
      <c r="M28" s="5"/>
    </row>
    <row r="29" spans="1:13" ht="57" x14ac:dyDescent="0.25">
      <c r="A29" s="3" t="s">
        <v>276</v>
      </c>
      <c r="B29" s="3" t="s">
        <v>270</v>
      </c>
      <c r="C29" s="3">
        <v>3</v>
      </c>
      <c r="D29" s="3" t="s">
        <v>213</v>
      </c>
      <c r="E29" s="2" t="s">
        <v>274</v>
      </c>
      <c r="F29" s="2" t="s">
        <v>277</v>
      </c>
      <c r="G29" s="3">
        <v>23</v>
      </c>
      <c r="H29" s="3">
        <v>2</v>
      </c>
      <c r="I29" s="4" t="s">
        <v>505</v>
      </c>
      <c r="J29" s="4" t="s">
        <v>508</v>
      </c>
      <c r="K29" s="4" t="s">
        <v>509</v>
      </c>
      <c r="L29" s="3"/>
      <c r="M29" s="5"/>
    </row>
    <row r="30" spans="1:13" ht="99.75" x14ac:dyDescent="0.25">
      <c r="A30" s="3" t="s">
        <v>278</v>
      </c>
      <c r="B30" s="3" t="s">
        <v>270</v>
      </c>
      <c r="C30" s="3">
        <v>4</v>
      </c>
      <c r="D30" s="3" t="s">
        <v>216</v>
      </c>
      <c r="E30" s="2" t="s">
        <v>274</v>
      </c>
      <c r="F30" s="2" t="s">
        <v>279</v>
      </c>
      <c r="G30" s="3">
        <v>38</v>
      </c>
      <c r="H30" s="3">
        <v>2</v>
      </c>
      <c r="I30" s="4" t="s">
        <v>505</v>
      </c>
      <c r="J30" s="4" t="s">
        <v>508</v>
      </c>
      <c r="K30" s="4" t="s">
        <v>509</v>
      </c>
      <c r="L30" s="3"/>
      <c r="M30" s="5"/>
    </row>
    <row r="31" spans="1:13" ht="42.75" x14ac:dyDescent="0.25">
      <c r="A31" s="3" t="s">
        <v>280</v>
      </c>
      <c r="B31" s="3" t="s">
        <v>270</v>
      </c>
      <c r="C31" s="3">
        <v>5</v>
      </c>
      <c r="D31" s="3" t="s">
        <v>219</v>
      </c>
      <c r="E31" s="2" t="s">
        <v>274</v>
      </c>
      <c r="F31" s="2" t="s">
        <v>281</v>
      </c>
      <c r="G31" s="3">
        <v>2</v>
      </c>
      <c r="H31" s="3">
        <v>1</v>
      </c>
      <c r="I31" s="4" t="s">
        <v>505</v>
      </c>
      <c r="J31" s="4" t="s">
        <v>507</v>
      </c>
      <c r="K31" s="4" t="s">
        <v>509</v>
      </c>
      <c r="L31" s="3"/>
      <c r="M31" s="5"/>
    </row>
    <row r="32" spans="1:13" ht="42.75" x14ac:dyDescent="0.25">
      <c r="A32" s="3" t="s">
        <v>282</v>
      </c>
      <c r="B32" s="3" t="s">
        <v>283</v>
      </c>
      <c r="C32" s="3">
        <v>1</v>
      </c>
      <c r="D32" s="3" t="s">
        <v>206</v>
      </c>
      <c r="E32" s="2" t="s">
        <v>284</v>
      </c>
      <c r="F32" s="2" t="s">
        <v>285</v>
      </c>
      <c r="G32" s="3">
        <v>2</v>
      </c>
      <c r="H32" s="3">
        <v>1</v>
      </c>
      <c r="I32" s="4" t="s">
        <v>510</v>
      </c>
      <c r="J32" s="4" t="s">
        <v>506</v>
      </c>
      <c r="K32" s="4" t="s">
        <v>509</v>
      </c>
      <c r="L32" s="4" t="s">
        <v>511</v>
      </c>
      <c r="M32" s="5"/>
    </row>
    <row r="33" spans="1:13" ht="114" x14ac:dyDescent="0.25">
      <c r="A33" s="3" t="s">
        <v>286</v>
      </c>
      <c r="B33" s="3" t="s">
        <v>283</v>
      </c>
      <c r="C33" s="3">
        <v>2</v>
      </c>
      <c r="D33" s="3" t="s">
        <v>210</v>
      </c>
      <c r="E33" s="2" t="s">
        <v>284</v>
      </c>
      <c r="F33" s="2" t="s">
        <v>287</v>
      </c>
      <c r="G33" s="3">
        <v>29</v>
      </c>
      <c r="H33" s="3">
        <v>4</v>
      </c>
      <c r="I33" s="4" t="s">
        <v>505</v>
      </c>
      <c r="J33" s="4" t="s">
        <v>508</v>
      </c>
      <c r="K33" s="4" t="s">
        <v>509</v>
      </c>
      <c r="L33" s="4" t="s">
        <v>512</v>
      </c>
      <c r="M33" s="5"/>
    </row>
    <row r="34" spans="1:13" ht="185.25" x14ac:dyDescent="0.25">
      <c r="A34" s="3" t="s">
        <v>288</v>
      </c>
      <c r="B34" s="3" t="s">
        <v>283</v>
      </c>
      <c r="C34" s="3">
        <v>3</v>
      </c>
      <c r="D34" s="3" t="s">
        <v>213</v>
      </c>
      <c r="E34" s="2" t="s">
        <v>284</v>
      </c>
      <c r="F34" s="2" t="s">
        <v>289</v>
      </c>
      <c r="G34" s="3">
        <v>63</v>
      </c>
      <c r="H34" s="3">
        <v>7</v>
      </c>
      <c r="I34" s="4" t="s">
        <v>505</v>
      </c>
      <c r="J34" s="4" t="s">
        <v>508</v>
      </c>
      <c r="K34" s="4" t="s">
        <v>509</v>
      </c>
      <c r="L34" s="4" t="s">
        <v>512</v>
      </c>
      <c r="M34" s="5"/>
    </row>
    <row r="35" spans="1:13" ht="256.5" x14ac:dyDescent="0.25">
      <c r="A35" s="3" t="s">
        <v>290</v>
      </c>
      <c r="B35" s="3" t="s">
        <v>283</v>
      </c>
      <c r="C35" s="3">
        <v>4</v>
      </c>
      <c r="D35" s="3" t="s">
        <v>216</v>
      </c>
      <c r="E35" s="2" t="s">
        <v>284</v>
      </c>
      <c r="F35" s="2" t="s">
        <v>291</v>
      </c>
      <c r="G35" s="3">
        <v>76</v>
      </c>
      <c r="H35" s="3">
        <v>10</v>
      </c>
      <c r="I35" s="4" t="s">
        <v>505</v>
      </c>
      <c r="J35" s="4" t="s">
        <v>508</v>
      </c>
      <c r="K35" s="4" t="s">
        <v>509</v>
      </c>
      <c r="L35" s="4" t="s">
        <v>512</v>
      </c>
      <c r="M35" s="5"/>
    </row>
    <row r="36" spans="1:13" ht="114" x14ac:dyDescent="0.25">
      <c r="A36" s="3" t="s">
        <v>292</v>
      </c>
      <c r="B36" s="3" t="s">
        <v>283</v>
      </c>
      <c r="C36" s="3">
        <v>5</v>
      </c>
      <c r="D36" s="3" t="s">
        <v>219</v>
      </c>
      <c r="E36" s="2" t="s">
        <v>284</v>
      </c>
      <c r="F36" s="2" t="s">
        <v>293</v>
      </c>
      <c r="G36" s="3">
        <v>26</v>
      </c>
      <c r="H36" s="3">
        <v>6</v>
      </c>
      <c r="I36" s="4" t="s">
        <v>505</v>
      </c>
      <c r="J36" s="4" t="s">
        <v>506</v>
      </c>
      <c r="K36" s="4" t="s">
        <v>509</v>
      </c>
      <c r="L36" s="4" t="s">
        <v>512</v>
      </c>
      <c r="M36" s="5"/>
    </row>
  </sheetData>
  <sheetProtection sheet="1" objects="1" scenarios="1" formatColumns="0" formatRows="0"/>
  <dataValidations count="4">
    <dataValidation type="list" allowBlank="1" showErrorMessage="1" sqref="I2:I36" xr:uid="{00000000-0002-0000-0100-000000000000}">
      <formula1>"tam / полное,kısmen / частичное,uyum yok / нет"</formula1>
    </dataValidation>
    <dataValidation type="list" allowBlank="1" showErrorMessage="1" sqref="J2:J36" xr:uid="{00000000-0002-0000-0100-000001000000}">
      <formula1>"karşıladı / отвечает,kısmen karşıladı / частично,alakasız / не по теме"</formula1>
    </dataValidation>
    <dataValidation type="list" allowBlank="1" showErrorMessage="1" sqref="K2:K36" xr:uid="{00000000-0002-0000-0100-000002000000}">
      <formula1>"evet / да,hayır / нет"</formula1>
    </dataValidation>
    <dataValidation type="list" allowBlank="1" showErrorMessage="1" sqref="L32:L36" xr:uid="{00000000-0002-0000-0100-000003000000}">
      <formula1>"iki metni de işlemiştir / обработал оба текста,metinleri hizalamamıştır / не сопоставил тексты,olmayan bir fark uydurmuştur (halüsinasyon) / придумал несуществующее различие (галлюцинация)"</formula1>
    </dataValidation>
  </dataValidations>
  <pageMargins left="0.5" right="0.5"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02"/>
  <sheetViews>
    <sheetView tabSelected="1" zoomScale="160" zoomScaleNormal="160" workbookViewId="0">
      <pane xSplit="6" ySplit="1" topLeftCell="I28" activePane="bottomRight" state="frozen"/>
      <selection pane="topRight"/>
      <selection pane="bottomLeft"/>
      <selection pane="bottomRight" activeCell="O30" sqref="O30"/>
    </sheetView>
  </sheetViews>
  <sheetFormatPr defaultRowHeight="14.25" x14ac:dyDescent="0.25"/>
  <cols>
    <col min="1" max="1" width="14" customWidth="1"/>
    <col min="2" max="2" width="9" customWidth="1"/>
    <col min="3" max="3" width="8" customWidth="1"/>
    <col min="4" max="4" width="9" customWidth="1"/>
    <col min="5" max="5" width="50" customWidth="1"/>
    <col min="6" max="6" width="9" customWidth="1"/>
    <col min="7" max="7" width="20" customWidth="1"/>
    <col min="8" max="11" width="9" customWidth="1"/>
    <col min="12" max="13" width="11" customWidth="1"/>
    <col min="14" max="17" width="7" customWidth="1"/>
    <col min="18" max="18" width="9" customWidth="1"/>
    <col min="19" max="19" width="14" customWidth="1"/>
    <col min="20" max="20" width="20" customWidth="1"/>
  </cols>
  <sheetData>
    <row r="1" spans="1:20" ht="101.25" customHeight="1" x14ac:dyDescent="0.25">
      <c r="A1" s="1" t="s">
        <v>191</v>
      </c>
      <c r="B1" s="1" t="s">
        <v>192</v>
      </c>
      <c r="C1" s="1" t="s">
        <v>193</v>
      </c>
      <c r="D1" s="1" t="s">
        <v>294</v>
      </c>
      <c r="E1" s="1" t="s">
        <v>295</v>
      </c>
      <c r="F1" s="1" t="s">
        <v>197</v>
      </c>
      <c r="G1" s="1" t="s">
        <v>296</v>
      </c>
      <c r="H1" s="1" t="s">
        <v>297</v>
      </c>
      <c r="I1" s="1" t="s">
        <v>298</v>
      </c>
      <c r="J1" s="1" t="s">
        <v>299</v>
      </c>
      <c r="K1" s="1" t="s">
        <v>300</v>
      </c>
      <c r="L1" s="1" t="s">
        <v>301</v>
      </c>
      <c r="M1" s="1" t="s">
        <v>302</v>
      </c>
      <c r="N1" s="1" t="s">
        <v>303</v>
      </c>
      <c r="O1" s="1" t="s">
        <v>304</v>
      </c>
      <c r="P1" s="1" t="s">
        <v>305</v>
      </c>
      <c r="Q1" s="1" t="s">
        <v>306</v>
      </c>
      <c r="R1" s="1" t="s">
        <v>307</v>
      </c>
      <c r="S1" s="1" t="s">
        <v>308</v>
      </c>
      <c r="T1" s="1" t="s">
        <v>203</v>
      </c>
    </row>
    <row r="2" spans="1:20" ht="28.5" x14ac:dyDescent="0.25">
      <c r="A2" s="3" t="s">
        <v>204</v>
      </c>
      <c r="B2" s="3" t="s">
        <v>205</v>
      </c>
      <c r="C2" s="3">
        <v>1</v>
      </c>
      <c r="D2" s="3">
        <v>1</v>
      </c>
      <c r="E2" s="2" t="s">
        <v>309</v>
      </c>
      <c r="F2" s="3">
        <v>5</v>
      </c>
      <c r="G2" s="4" t="s">
        <v>514</v>
      </c>
      <c r="H2" s="4"/>
      <c r="I2" s="4">
        <v>2</v>
      </c>
      <c r="J2" s="4"/>
      <c r="K2" s="4"/>
      <c r="L2" s="3">
        <f t="shared" ref="L2:L65" si="0">F2-(H2+I2+J2+K2)</f>
        <v>3</v>
      </c>
      <c r="M2" s="4"/>
      <c r="N2" s="4"/>
      <c r="O2" s="4"/>
      <c r="P2" s="4"/>
      <c r="Q2" s="4"/>
      <c r="R2" s="4"/>
      <c r="S2" s="3">
        <f t="shared" ref="S2:S65" si="1">N2+O2+P2+Q2+R2</f>
        <v>0</v>
      </c>
      <c r="T2" s="5"/>
    </row>
    <row r="3" spans="1:20" ht="28.5" x14ac:dyDescent="0.25">
      <c r="A3" s="3" t="s">
        <v>204</v>
      </c>
      <c r="B3" s="3" t="s">
        <v>205</v>
      </c>
      <c r="C3" s="3">
        <v>1</v>
      </c>
      <c r="D3" s="3">
        <v>2</v>
      </c>
      <c r="E3" s="2" t="s">
        <v>310</v>
      </c>
      <c r="F3" s="3">
        <v>3</v>
      </c>
      <c r="G3" s="4" t="s">
        <v>513</v>
      </c>
      <c r="H3" s="4"/>
      <c r="I3" s="4">
        <v>1</v>
      </c>
      <c r="J3" s="4">
        <v>1</v>
      </c>
      <c r="K3" s="4"/>
      <c r="L3" s="3">
        <f t="shared" si="0"/>
        <v>1</v>
      </c>
      <c r="M3" s="4"/>
      <c r="N3" s="4"/>
      <c r="O3" s="4"/>
      <c r="P3" s="4"/>
      <c r="Q3" s="4"/>
      <c r="R3" s="4"/>
      <c r="S3" s="3">
        <f t="shared" si="1"/>
        <v>0</v>
      </c>
      <c r="T3" s="5"/>
    </row>
    <row r="4" spans="1:20" x14ac:dyDescent="0.25">
      <c r="A4" s="3" t="s">
        <v>209</v>
      </c>
      <c r="B4" s="3" t="s">
        <v>205</v>
      </c>
      <c r="C4" s="3">
        <v>2</v>
      </c>
      <c r="D4" s="3">
        <v>1</v>
      </c>
      <c r="E4" s="2" t="s">
        <v>311</v>
      </c>
      <c r="F4" s="3">
        <v>2</v>
      </c>
      <c r="G4" s="4" t="s">
        <v>515</v>
      </c>
      <c r="H4" s="4"/>
      <c r="I4" s="4"/>
      <c r="J4" s="4"/>
      <c r="K4" s="4"/>
      <c r="L4" s="3">
        <f t="shared" si="0"/>
        <v>2</v>
      </c>
      <c r="M4" s="4"/>
      <c r="N4" s="4"/>
      <c r="O4" s="4"/>
      <c r="P4" s="4"/>
      <c r="Q4" s="4"/>
      <c r="R4" s="4"/>
      <c r="S4" s="3">
        <f t="shared" si="1"/>
        <v>0</v>
      </c>
      <c r="T4" s="5"/>
    </row>
    <row r="5" spans="1:20" ht="28.5" x14ac:dyDescent="0.25">
      <c r="A5" s="3" t="s">
        <v>209</v>
      </c>
      <c r="B5" s="3" t="s">
        <v>205</v>
      </c>
      <c r="C5" s="3">
        <v>2</v>
      </c>
      <c r="D5" s="3">
        <v>2</v>
      </c>
      <c r="E5" s="2" t="s">
        <v>312</v>
      </c>
      <c r="F5" s="3">
        <v>9</v>
      </c>
      <c r="G5" s="4" t="s">
        <v>514</v>
      </c>
      <c r="H5" s="4">
        <v>1</v>
      </c>
      <c r="I5" s="4"/>
      <c r="J5" s="4"/>
      <c r="K5" s="4">
        <v>1</v>
      </c>
      <c r="L5" s="3">
        <f t="shared" si="0"/>
        <v>7</v>
      </c>
      <c r="M5" s="4"/>
      <c r="N5" s="4"/>
      <c r="O5" s="4">
        <v>1</v>
      </c>
      <c r="P5" s="4"/>
      <c r="Q5" s="4"/>
      <c r="R5" s="4"/>
      <c r="S5" s="3">
        <f t="shared" si="1"/>
        <v>1</v>
      </c>
      <c r="T5" s="5"/>
    </row>
    <row r="6" spans="1:20" ht="28.5" x14ac:dyDescent="0.25">
      <c r="A6" s="3" t="s">
        <v>209</v>
      </c>
      <c r="B6" s="3" t="s">
        <v>205</v>
      </c>
      <c r="C6" s="3">
        <v>2</v>
      </c>
      <c r="D6" s="3">
        <v>3</v>
      </c>
      <c r="E6" s="2" t="s">
        <v>313</v>
      </c>
      <c r="F6" s="3">
        <v>7</v>
      </c>
      <c r="G6" s="4" t="s">
        <v>514</v>
      </c>
      <c r="H6" s="4">
        <v>1</v>
      </c>
      <c r="I6" s="4"/>
      <c r="J6" s="4"/>
      <c r="K6" s="4"/>
      <c r="L6" s="3">
        <f t="shared" si="0"/>
        <v>6</v>
      </c>
      <c r="M6" s="4"/>
      <c r="N6" s="4"/>
      <c r="O6" s="4"/>
      <c r="P6" s="4"/>
      <c r="Q6" s="4"/>
      <c r="R6" s="4"/>
      <c r="S6" s="3">
        <f t="shared" si="1"/>
        <v>0</v>
      </c>
      <c r="T6" s="5"/>
    </row>
    <row r="7" spans="1:20" ht="57" x14ac:dyDescent="0.25">
      <c r="A7" s="3" t="s">
        <v>209</v>
      </c>
      <c r="B7" s="3" t="s">
        <v>205</v>
      </c>
      <c r="C7" s="3">
        <v>2</v>
      </c>
      <c r="D7" s="3">
        <v>4</v>
      </c>
      <c r="E7" s="2" t="s">
        <v>314</v>
      </c>
      <c r="F7" s="3">
        <v>19</v>
      </c>
      <c r="G7" s="4" t="s">
        <v>514</v>
      </c>
      <c r="H7" s="4">
        <v>2</v>
      </c>
      <c r="I7" s="4"/>
      <c r="J7" s="4">
        <v>2</v>
      </c>
      <c r="K7" s="4"/>
      <c r="L7" s="3">
        <f t="shared" si="0"/>
        <v>15</v>
      </c>
      <c r="M7" s="4"/>
      <c r="N7" s="4"/>
      <c r="O7" s="4"/>
      <c r="P7" s="4"/>
      <c r="Q7" s="4"/>
      <c r="R7" s="4"/>
      <c r="S7" s="3">
        <f t="shared" si="1"/>
        <v>0</v>
      </c>
      <c r="T7" s="5"/>
    </row>
    <row r="8" spans="1:20" ht="28.5" x14ac:dyDescent="0.25">
      <c r="A8" s="3" t="s">
        <v>209</v>
      </c>
      <c r="B8" s="3" t="s">
        <v>205</v>
      </c>
      <c r="C8" s="3">
        <v>2</v>
      </c>
      <c r="D8" s="3">
        <v>5</v>
      </c>
      <c r="E8" s="2" t="s">
        <v>315</v>
      </c>
      <c r="F8" s="3">
        <v>10</v>
      </c>
      <c r="G8" s="4" t="s">
        <v>514</v>
      </c>
      <c r="H8" s="4"/>
      <c r="I8" s="4"/>
      <c r="J8" s="4">
        <v>1</v>
      </c>
      <c r="K8" s="4"/>
      <c r="L8" s="3">
        <f t="shared" si="0"/>
        <v>9</v>
      </c>
      <c r="M8" s="4"/>
      <c r="N8" s="4"/>
      <c r="O8" s="4"/>
      <c r="P8" s="4"/>
      <c r="Q8" s="4"/>
      <c r="R8" s="4"/>
      <c r="S8" s="3">
        <f t="shared" si="1"/>
        <v>0</v>
      </c>
      <c r="T8" s="5"/>
    </row>
    <row r="9" spans="1:20" x14ac:dyDescent="0.25">
      <c r="A9" s="3" t="s">
        <v>212</v>
      </c>
      <c r="B9" s="3" t="s">
        <v>205</v>
      </c>
      <c r="C9" s="3">
        <v>3</v>
      </c>
      <c r="D9" s="3">
        <v>1</v>
      </c>
      <c r="E9" s="2" t="s">
        <v>311</v>
      </c>
      <c r="F9" s="3">
        <v>2</v>
      </c>
      <c r="G9" s="4" t="s">
        <v>515</v>
      </c>
      <c r="H9" s="4"/>
      <c r="I9" s="4"/>
      <c r="J9" s="4"/>
      <c r="K9" s="4"/>
      <c r="L9" s="3">
        <f t="shared" si="0"/>
        <v>2</v>
      </c>
      <c r="M9" s="4"/>
      <c r="N9" s="4"/>
      <c r="O9" s="4"/>
      <c r="P9" s="4"/>
      <c r="Q9" s="4"/>
      <c r="R9" s="4"/>
      <c r="S9" s="3">
        <f t="shared" si="1"/>
        <v>0</v>
      </c>
      <c r="T9" s="5"/>
    </row>
    <row r="10" spans="1:20" ht="28.5" x14ac:dyDescent="0.25">
      <c r="A10" s="3" t="s">
        <v>212</v>
      </c>
      <c r="B10" s="3" t="s">
        <v>205</v>
      </c>
      <c r="C10" s="3">
        <v>3</v>
      </c>
      <c r="D10" s="3">
        <v>2</v>
      </c>
      <c r="E10" s="2" t="s">
        <v>316</v>
      </c>
      <c r="F10" s="3">
        <v>10</v>
      </c>
      <c r="G10" s="4" t="s">
        <v>514</v>
      </c>
      <c r="H10" s="4"/>
      <c r="I10" s="4"/>
      <c r="J10" s="4">
        <v>1</v>
      </c>
      <c r="K10" s="4">
        <v>1</v>
      </c>
      <c r="L10" s="3">
        <f t="shared" si="0"/>
        <v>8</v>
      </c>
      <c r="M10" s="4"/>
      <c r="N10" s="4"/>
      <c r="O10" s="4">
        <v>1</v>
      </c>
      <c r="P10" s="4"/>
      <c r="Q10" s="4"/>
      <c r="R10" s="4"/>
      <c r="S10" s="3">
        <f t="shared" si="1"/>
        <v>1</v>
      </c>
      <c r="T10" s="5"/>
    </row>
    <row r="11" spans="1:20" ht="28.5" x14ac:dyDescent="0.25">
      <c r="A11" s="3" t="s">
        <v>212</v>
      </c>
      <c r="B11" s="3" t="s">
        <v>205</v>
      </c>
      <c r="C11" s="3">
        <v>3</v>
      </c>
      <c r="D11" s="3">
        <v>3</v>
      </c>
      <c r="E11" s="2" t="s">
        <v>317</v>
      </c>
      <c r="F11" s="3">
        <v>6</v>
      </c>
      <c r="G11" s="4" t="s">
        <v>514</v>
      </c>
      <c r="H11" s="4"/>
      <c r="I11" s="4"/>
      <c r="J11" s="4"/>
      <c r="K11" s="4">
        <v>1</v>
      </c>
      <c r="L11" s="3">
        <f t="shared" si="0"/>
        <v>5</v>
      </c>
      <c r="M11" s="4"/>
      <c r="N11" s="4">
        <v>1</v>
      </c>
      <c r="O11" s="4"/>
      <c r="P11" s="4"/>
      <c r="Q11" s="4"/>
      <c r="R11" s="4"/>
      <c r="S11" s="3">
        <f t="shared" si="1"/>
        <v>1</v>
      </c>
      <c r="T11" s="5"/>
    </row>
    <row r="12" spans="1:20" ht="28.5" x14ac:dyDescent="0.25">
      <c r="A12" s="3" t="s">
        <v>212</v>
      </c>
      <c r="B12" s="3" t="s">
        <v>205</v>
      </c>
      <c r="C12" s="3">
        <v>3</v>
      </c>
      <c r="D12" s="3">
        <v>4</v>
      </c>
      <c r="E12" s="2" t="s">
        <v>318</v>
      </c>
      <c r="F12" s="3">
        <v>8</v>
      </c>
      <c r="G12" s="4" t="s">
        <v>514</v>
      </c>
      <c r="H12" s="4">
        <v>2</v>
      </c>
      <c r="I12" s="4"/>
      <c r="J12" s="4"/>
      <c r="K12" s="4">
        <v>1</v>
      </c>
      <c r="L12" s="3">
        <f t="shared" si="0"/>
        <v>5</v>
      </c>
      <c r="M12" s="4"/>
      <c r="N12" s="4">
        <v>1</v>
      </c>
      <c r="O12" s="4"/>
      <c r="P12" s="4"/>
      <c r="Q12" s="4"/>
      <c r="R12" s="4"/>
      <c r="S12" s="3">
        <f t="shared" si="1"/>
        <v>1</v>
      </c>
      <c r="T12" s="5"/>
    </row>
    <row r="13" spans="1:20" ht="28.5" x14ac:dyDescent="0.25">
      <c r="A13" s="3" t="s">
        <v>212</v>
      </c>
      <c r="B13" s="3" t="s">
        <v>205</v>
      </c>
      <c r="C13" s="3">
        <v>3</v>
      </c>
      <c r="D13" s="3">
        <v>5</v>
      </c>
      <c r="E13" s="2" t="s">
        <v>319</v>
      </c>
      <c r="F13" s="3">
        <v>9</v>
      </c>
      <c r="G13" s="4" t="s">
        <v>514</v>
      </c>
      <c r="H13" s="4">
        <v>1</v>
      </c>
      <c r="I13" s="4"/>
      <c r="J13" s="4"/>
      <c r="K13" s="4"/>
      <c r="L13" s="3">
        <f t="shared" si="0"/>
        <v>8</v>
      </c>
      <c r="M13" s="4"/>
      <c r="N13" s="4"/>
      <c r="O13" s="4"/>
      <c r="P13" s="4"/>
      <c r="Q13" s="4"/>
      <c r="R13" s="4"/>
      <c r="S13" s="3">
        <f t="shared" si="1"/>
        <v>0</v>
      </c>
      <c r="T13" s="5"/>
    </row>
    <row r="14" spans="1:20" ht="28.5" x14ac:dyDescent="0.25">
      <c r="A14" s="3" t="s">
        <v>212</v>
      </c>
      <c r="B14" s="3" t="s">
        <v>205</v>
      </c>
      <c r="C14" s="3">
        <v>3</v>
      </c>
      <c r="D14" s="3">
        <v>6</v>
      </c>
      <c r="E14" s="2" t="s">
        <v>320</v>
      </c>
      <c r="F14" s="3">
        <v>9</v>
      </c>
      <c r="G14" s="4" t="s">
        <v>514</v>
      </c>
      <c r="H14" s="4">
        <v>2</v>
      </c>
      <c r="I14" s="4"/>
      <c r="J14" s="4"/>
      <c r="K14" s="4"/>
      <c r="L14" s="3">
        <f t="shared" si="0"/>
        <v>7</v>
      </c>
      <c r="M14" s="4"/>
      <c r="N14" s="4"/>
      <c r="O14" s="4"/>
      <c r="P14" s="4"/>
      <c r="Q14" s="4"/>
      <c r="R14" s="4"/>
      <c r="S14" s="3">
        <f t="shared" si="1"/>
        <v>0</v>
      </c>
      <c r="T14" s="5"/>
    </row>
    <row r="15" spans="1:20" ht="28.5" x14ac:dyDescent="0.25">
      <c r="A15" s="3" t="s">
        <v>212</v>
      </c>
      <c r="B15" s="3" t="s">
        <v>205</v>
      </c>
      <c r="C15" s="3">
        <v>3</v>
      </c>
      <c r="D15" s="3">
        <v>7</v>
      </c>
      <c r="E15" s="2" t="s">
        <v>321</v>
      </c>
      <c r="F15" s="3">
        <v>3</v>
      </c>
      <c r="G15" s="4" t="s">
        <v>514</v>
      </c>
      <c r="H15" s="4">
        <v>1</v>
      </c>
      <c r="I15" s="4"/>
      <c r="J15" s="4"/>
      <c r="K15" s="4"/>
      <c r="L15" s="3">
        <f t="shared" si="0"/>
        <v>2</v>
      </c>
      <c r="M15" s="4"/>
      <c r="N15" s="4"/>
      <c r="O15" s="4"/>
      <c r="P15" s="4"/>
      <c r="Q15" s="4"/>
      <c r="R15" s="4"/>
      <c r="S15" s="3">
        <f t="shared" si="1"/>
        <v>0</v>
      </c>
      <c r="T15" s="5"/>
    </row>
    <row r="16" spans="1:20" x14ac:dyDescent="0.25">
      <c r="A16" s="3" t="s">
        <v>215</v>
      </c>
      <c r="B16" s="3" t="s">
        <v>205</v>
      </c>
      <c r="C16" s="3">
        <v>4</v>
      </c>
      <c r="D16" s="3">
        <v>1</v>
      </c>
      <c r="E16" s="2" t="s">
        <v>311</v>
      </c>
      <c r="F16" s="3">
        <v>2</v>
      </c>
      <c r="G16" s="4" t="s">
        <v>515</v>
      </c>
      <c r="H16" s="4"/>
      <c r="I16" s="4"/>
      <c r="J16" s="4"/>
      <c r="K16" s="4"/>
      <c r="L16" s="3">
        <f t="shared" si="0"/>
        <v>2</v>
      </c>
      <c r="M16" s="4"/>
      <c r="N16" s="4"/>
      <c r="O16" s="4"/>
      <c r="P16" s="4"/>
      <c r="Q16" s="4"/>
      <c r="R16" s="4"/>
      <c r="S16" s="3">
        <f t="shared" si="1"/>
        <v>0</v>
      </c>
      <c r="T16" s="5"/>
    </row>
    <row r="17" spans="1:20" ht="28.5" x14ac:dyDescent="0.25">
      <c r="A17" s="3" t="s">
        <v>215</v>
      </c>
      <c r="B17" s="3" t="s">
        <v>205</v>
      </c>
      <c r="C17" s="3">
        <v>4</v>
      </c>
      <c r="D17" s="3">
        <v>2</v>
      </c>
      <c r="E17" s="2" t="s">
        <v>322</v>
      </c>
      <c r="F17" s="3">
        <v>4</v>
      </c>
      <c r="G17" s="4" t="s">
        <v>514</v>
      </c>
      <c r="H17" s="4"/>
      <c r="I17" s="4"/>
      <c r="J17" s="4"/>
      <c r="K17" s="4">
        <v>1</v>
      </c>
      <c r="L17" s="3">
        <f t="shared" si="0"/>
        <v>3</v>
      </c>
      <c r="M17" s="4"/>
      <c r="N17" s="4">
        <v>1</v>
      </c>
      <c r="O17" s="4"/>
      <c r="P17" s="4"/>
      <c r="Q17" s="4"/>
      <c r="R17" s="4"/>
      <c r="S17" s="3">
        <f t="shared" si="1"/>
        <v>1</v>
      </c>
      <c r="T17" s="5"/>
    </row>
    <row r="18" spans="1:20" ht="28.5" x14ac:dyDescent="0.25">
      <c r="A18" s="3" t="s">
        <v>215</v>
      </c>
      <c r="B18" s="3" t="s">
        <v>205</v>
      </c>
      <c r="C18" s="3">
        <v>4</v>
      </c>
      <c r="D18" s="3">
        <v>3</v>
      </c>
      <c r="E18" s="2" t="s">
        <v>323</v>
      </c>
      <c r="F18" s="3">
        <v>2</v>
      </c>
      <c r="G18" s="4" t="s">
        <v>514</v>
      </c>
      <c r="H18" s="4">
        <v>1</v>
      </c>
      <c r="I18" s="4"/>
      <c r="J18" s="4"/>
      <c r="K18" s="4"/>
      <c r="L18" s="3">
        <f t="shared" si="0"/>
        <v>1</v>
      </c>
      <c r="M18" s="4"/>
      <c r="N18" s="4"/>
      <c r="O18" s="4"/>
      <c r="P18" s="4"/>
      <c r="Q18" s="4"/>
      <c r="R18" s="4"/>
      <c r="S18" s="3">
        <f t="shared" si="1"/>
        <v>0</v>
      </c>
      <c r="T18" s="5"/>
    </row>
    <row r="19" spans="1:20" x14ac:dyDescent="0.25">
      <c r="A19" s="3" t="s">
        <v>215</v>
      </c>
      <c r="B19" s="3" t="s">
        <v>205</v>
      </c>
      <c r="C19" s="3">
        <v>4</v>
      </c>
      <c r="D19" s="3">
        <v>4</v>
      </c>
      <c r="E19" s="2" t="s">
        <v>324</v>
      </c>
      <c r="F19" s="3">
        <v>2</v>
      </c>
      <c r="G19" s="4" t="s">
        <v>515</v>
      </c>
      <c r="H19" s="4"/>
      <c r="I19" s="4"/>
      <c r="J19" s="4"/>
      <c r="K19" s="4"/>
      <c r="L19" s="3">
        <f t="shared" si="0"/>
        <v>2</v>
      </c>
      <c r="M19" s="4"/>
      <c r="N19" s="4"/>
      <c r="O19" s="4"/>
      <c r="P19" s="4"/>
      <c r="Q19" s="4"/>
      <c r="R19" s="4"/>
      <c r="S19" s="3">
        <f t="shared" si="1"/>
        <v>0</v>
      </c>
      <c r="T19" s="5"/>
    </row>
    <row r="20" spans="1:20" x14ac:dyDescent="0.25">
      <c r="A20" s="3" t="s">
        <v>218</v>
      </c>
      <c r="B20" s="3" t="s">
        <v>205</v>
      </c>
      <c r="C20" s="3">
        <v>5</v>
      </c>
      <c r="D20" s="3">
        <v>1</v>
      </c>
      <c r="E20" s="2" t="s">
        <v>311</v>
      </c>
      <c r="F20" s="3">
        <v>2</v>
      </c>
      <c r="G20" s="4" t="s">
        <v>515</v>
      </c>
      <c r="H20" s="4"/>
      <c r="I20" s="4"/>
      <c r="J20" s="4"/>
      <c r="K20" s="4"/>
      <c r="L20" s="3">
        <f t="shared" si="0"/>
        <v>2</v>
      </c>
      <c r="M20" s="4"/>
      <c r="N20" s="4"/>
      <c r="O20" s="4"/>
      <c r="P20" s="4"/>
      <c r="Q20" s="4"/>
      <c r="R20" s="4"/>
      <c r="S20" s="3">
        <f t="shared" si="1"/>
        <v>0</v>
      </c>
      <c r="T20" s="5"/>
    </row>
    <row r="21" spans="1:20" x14ac:dyDescent="0.25">
      <c r="A21" s="3" t="s">
        <v>218</v>
      </c>
      <c r="B21" s="3" t="s">
        <v>205</v>
      </c>
      <c r="C21" s="3">
        <v>5</v>
      </c>
      <c r="D21" s="3">
        <v>2</v>
      </c>
      <c r="E21" s="2" t="s">
        <v>325</v>
      </c>
      <c r="F21" s="3">
        <v>2</v>
      </c>
      <c r="G21" s="4" t="s">
        <v>515</v>
      </c>
      <c r="H21" s="4"/>
      <c r="I21" s="4"/>
      <c r="J21" s="4"/>
      <c r="K21" s="4"/>
      <c r="L21" s="3">
        <f t="shared" si="0"/>
        <v>2</v>
      </c>
      <c r="M21" s="4"/>
      <c r="N21" s="4"/>
      <c r="O21" s="4"/>
      <c r="P21" s="4"/>
      <c r="Q21" s="4"/>
      <c r="R21" s="4"/>
      <c r="S21" s="3">
        <f t="shared" si="1"/>
        <v>0</v>
      </c>
      <c r="T21" s="5"/>
    </row>
    <row r="22" spans="1:20" ht="28.5" x14ac:dyDescent="0.25">
      <c r="A22" s="3" t="s">
        <v>218</v>
      </c>
      <c r="B22" s="3" t="s">
        <v>205</v>
      </c>
      <c r="C22" s="3">
        <v>5</v>
      </c>
      <c r="D22" s="3">
        <v>3</v>
      </c>
      <c r="E22" s="2" t="s">
        <v>326</v>
      </c>
      <c r="F22" s="3">
        <v>3</v>
      </c>
      <c r="G22" s="4" t="s">
        <v>514</v>
      </c>
      <c r="H22" s="4"/>
      <c r="I22" s="4">
        <v>1</v>
      </c>
      <c r="J22" s="4"/>
      <c r="K22" s="4"/>
      <c r="L22" s="3">
        <f t="shared" si="0"/>
        <v>2</v>
      </c>
      <c r="M22" s="4"/>
      <c r="N22" s="4"/>
      <c r="O22" s="4"/>
      <c r="P22" s="4"/>
      <c r="Q22" s="4"/>
      <c r="R22" s="4"/>
      <c r="S22" s="3">
        <f t="shared" si="1"/>
        <v>0</v>
      </c>
      <c r="T22" s="5"/>
    </row>
    <row r="23" spans="1:20" x14ac:dyDescent="0.25">
      <c r="A23" s="3" t="s">
        <v>218</v>
      </c>
      <c r="B23" s="3" t="s">
        <v>205</v>
      </c>
      <c r="C23" s="3">
        <v>5</v>
      </c>
      <c r="D23" s="3">
        <v>4</v>
      </c>
      <c r="E23" s="2" t="s">
        <v>327</v>
      </c>
      <c r="F23" s="3">
        <v>3</v>
      </c>
      <c r="G23" s="4" t="s">
        <v>515</v>
      </c>
      <c r="H23" s="4"/>
      <c r="I23" s="4"/>
      <c r="J23" s="4"/>
      <c r="K23" s="4"/>
      <c r="L23" s="3">
        <f t="shared" si="0"/>
        <v>3</v>
      </c>
      <c r="M23" s="4"/>
      <c r="N23" s="4"/>
      <c r="O23" s="4"/>
      <c r="P23" s="4"/>
      <c r="Q23" s="4"/>
      <c r="R23" s="4"/>
      <c r="S23" s="3">
        <f t="shared" si="1"/>
        <v>0</v>
      </c>
      <c r="T23" s="5"/>
    </row>
    <row r="24" spans="1:20" x14ac:dyDescent="0.25">
      <c r="A24" s="3" t="s">
        <v>218</v>
      </c>
      <c r="B24" s="3" t="s">
        <v>205</v>
      </c>
      <c r="C24" s="3">
        <v>5</v>
      </c>
      <c r="D24" s="3">
        <v>5</v>
      </c>
      <c r="E24" s="2" t="s">
        <v>328</v>
      </c>
      <c r="F24" s="3">
        <v>2</v>
      </c>
      <c r="G24" s="4" t="s">
        <v>515</v>
      </c>
      <c r="H24" s="4"/>
      <c r="I24" s="4"/>
      <c r="J24" s="4"/>
      <c r="K24" s="4"/>
      <c r="L24" s="3">
        <f t="shared" si="0"/>
        <v>2</v>
      </c>
      <c r="M24" s="4"/>
      <c r="N24" s="4"/>
      <c r="O24" s="4"/>
      <c r="P24" s="4"/>
      <c r="Q24" s="4"/>
      <c r="R24" s="4"/>
      <c r="S24" s="3">
        <f t="shared" si="1"/>
        <v>0</v>
      </c>
      <c r="T24" s="5"/>
    </row>
    <row r="25" spans="1:20" ht="28.5" x14ac:dyDescent="0.25">
      <c r="A25" s="3" t="s">
        <v>221</v>
      </c>
      <c r="B25" s="3" t="s">
        <v>222</v>
      </c>
      <c r="C25" s="3">
        <v>1</v>
      </c>
      <c r="D25" s="3">
        <v>1</v>
      </c>
      <c r="E25" s="2" t="s">
        <v>329</v>
      </c>
      <c r="F25" s="3">
        <v>5</v>
      </c>
      <c r="G25" s="4" t="s">
        <v>514</v>
      </c>
      <c r="H25" s="4"/>
      <c r="I25" s="4"/>
      <c r="J25" s="4">
        <v>1</v>
      </c>
      <c r="K25" s="4"/>
      <c r="L25" s="3">
        <f t="shared" si="0"/>
        <v>4</v>
      </c>
      <c r="M25" s="4"/>
      <c r="N25" s="4"/>
      <c r="O25" s="4"/>
      <c r="P25" s="4"/>
      <c r="Q25" s="4"/>
      <c r="R25" s="4"/>
      <c r="S25" s="3">
        <f t="shared" si="1"/>
        <v>0</v>
      </c>
      <c r="T25" s="5"/>
    </row>
    <row r="26" spans="1:20" ht="28.5" x14ac:dyDescent="0.25">
      <c r="A26" s="3" t="s">
        <v>221</v>
      </c>
      <c r="B26" s="3" t="s">
        <v>222</v>
      </c>
      <c r="C26" s="3">
        <v>1</v>
      </c>
      <c r="D26" s="3">
        <v>2</v>
      </c>
      <c r="E26" s="2" t="s">
        <v>330</v>
      </c>
      <c r="F26" s="3">
        <v>3</v>
      </c>
      <c r="G26" s="4" t="s">
        <v>514</v>
      </c>
      <c r="H26" s="4">
        <v>2</v>
      </c>
      <c r="I26" s="4"/>
      <c r="J26" s="4"/>
      <c r="K26" s="4"/>
      <c r="L26" s="3">
        <f t="shared" si="0"/>
        <v>1</v>
      </c>
      <c r="M26" s="4"/>
      <c r="N26" s="4"/>
      <c r="O26" s="4"/>
      <c r="P26" s="4"/>
      <c r="Q26" s="4"/>
      <c r="R26" s="4"/>
      <c r="S26" s="3">
        <f t="shared" si="1"/>
        <v>0</v>
      </c>
      <c r="T26" s="5"/>
    </row>
    <row r="27" spans="1:20" ht="57" x14ac:dyDescent="0.25">
      <c r="A27" s="3" t="s">
        <v>225</v>
      </c>
      <c r="B27" s="3" t="s">
        <v>222</v>
      </c>
      <c r="C27" s="3">
        <v>2</v>
      </c>
      <c r="D27" s="3">
        <v>1</v>
      </c>
      <c r="E27" s="2" t="s">
        <v>331</v>
      </c>
      <c r="F27" s="3">
        <v>20</v>
      </c>
      <c r="G27" s="4" t="s">
        <v>514</v>
      </c>
      <c r="H27" s="4">
        <v>2</v>
      </c>
      <c r="I27" s="4"/>
      <c r="J27" s="4"/>
      <c r="K27" s="4"/>
      <c r="L27" s="3">
        <f t="shared" si="0"/>
        <v>18</v>
      </c>
      <c r="M27" s="4"/>
      <c r="N27" s="4"/>
      <c r="O27" s="4"/>
      <c r="P27" s="4"/>
      <c r="Q27" s="4"/>
      <c r="R27" s="4"/>
      <c r="S27" s="3">
        <f t="shared" si="1"/>
        <v>0</v>
      </c>
      <c r="T27" s="5"/>
    </row>
    <row r="28" spans="1:20" ht="28.5" x14ac:dyDescent="0.25">
      <c r="A28" s="3" t="s">
        <v>225</v>
      </c>
      <c r="B28" s="3" t="s">
        <v>222</v>
      </c>
      <c r="C28" s="3">
        <v>2</v>
      </c>
      <c r="D28" s="3">
        <v>2</v>
      </c>
      <c r="E28" s="2" t="s">
        <v>332</v>
      </c>
      <c r="F28" s="3">
        <v>12</v>
      </c>
      <c r="G28" s="4" t="s">
        <v>514</v>
      </c>
      <c r="H28" s="4">
        <v>2</v>
      </c>
      <c r="I28" s="4"/>
      <c r="J28" s="4">
        <v>2</v>
      </c>
      <c r="K28" s="4"/>
      <c r="L28" s="3">
        <f t="shared" si="0"/>
        <v>8</v>
      </c>
      <c r="M28" s="4"/>
      <c r="N28" s="4"/>
      <c r="O28" s="4"/>
      <c r="P28" s="4"/>
      <c r="Q28" s="4"/>
      <c r="R28" s="4"/>
      <c r="S28" s="3">
        <f t="shared" si="1"/>
        <v>0</v>
      </c>
      <c r="T28" s="5"/>
    </row>
    <row r="29" spans="1:20" ht="28.5" x14ac:dyDescent="0.25">
      <c r="A29" s="3" t="s">
        <v>227</v>
      </c>
      <c r="B29" s="3" t="s">
        <v>222</v>
      </c>
      <c r="C29" s="3">
        <v>3</v>
      </c>
      <c r="D29" s="3">
        <v>1</v>
      </c>
      <c r="E29" s="2" t="s">
        <v>333</v>
      </c>
      <c r="F29" s="3">
        <v>9</v>
      </c>
      <c r="G29" s="4" t="s">
        <v>514</v>
      </c>
      <c r="H29" s="4"/>
      <c r="I29" s="4"/>
      <c r="J29" s="4"/>
      <c r="K29" s="4">
        <v>1</v>
      </c>
      <c r="L29" s="3">
        <f t="shared" si="0"/>
        <v>8</v>
      </c>
      <c r="M29" s="4"/>
      <c r="N29" s="4">
        <v>1</v>
      </c>
      <c r="O29" s="4"/>
      <c r="P29" s="4"/>
      <c r="Q29" s="4"/>
      <c r="R29" s="4"/>
      <c r="S29" s="3">
        <f t="shared" si="1"/>
        <v>1</v>
      </c>
      <c r="T29" s="5"/>
    </row>
    <row r="30" spans="1:20" ht="42.75" x14ac:dyDescent="0.25">
      <c r="A30" s="3" t="s">
        <v>227</v>
      </c>
      <c r="B30" s="3" t="s">
        <v>222</v>
      </c>
      <c r="C30" s="3">
        <v>3</v>
      </c>
      <c r="D30" s="3">
        <v>2</v>
      </c>
      <c r="E30" s="2" t="s">
        <v>334</v>
      </c>
      <c r="F30" s="3">
        <v>11</v>
      </c>
      <c r="G30" s="4" t="s">
        <v>514</v>
      </c>
      <c r="H30" s="4">
        <v>2</v>
      </c>
      <c r="I30" s="4"/>
      <c r="J30" s="4"/>
      <c r="K30" s="4">
        <v>2</v>
      </c>
      <c r="L30" s="3">
        <f t="shared" si="0"/>
        <v>7</v>
      </c>
      <c r="M30" s="4"/>
      <c r="N30" s="4">
        <v>1</v>
      </c>
      <c r="O30" s="4">
        <v>1</v>
      </c>
      <c r="P30" s="4"/>
      <c r="Q30" s="4"/>
      <c r="R30" s="4"/>
      <c r="S30" s="3">
        <f t="shared" si="1"/>
        <v>2</v>
      </c>
      <c r="T30" s="5"/>
    </row>
    <row r="31" spans="1:20" ht="28.5" x14ac:dyDescent="0.25">
      <c r="A31" s="3" t="s">
        <v>227</v>
      </c>
      <c r="B31" s="3" t="s">
        <v>222</v>
      </c>
      <c r="C31" s="3">
        <v>3</v>
      </c>
      <c r="D31" s="3">
        <v>3</v>
      </c>
      <c r="E31" s="2" t="s">
        <v>335</v>
      </c>
      <c r="F31" s="3">
        <v>8</v>
      </c>
      <c r="G31" s="4" t="s">
        <v>515</v>
      </c>
      <c r="H31" s="4"/>
      <c r="I31" s="4"/>
      <c r="J31" s="4"/>
      <c r="K31" s="4"/>
      <c r="L31" s="3">
        <f t="shared" si="0"/>
        <v>8</v>
      </c>
      <c r="M31" s="4"/>
      <c r="N31" s="4"/>
      <c r="O31" s="4"/>
      <c r="P31" s="4"/>
      <c r="Q31" s="4"/>
      <c r="R31" s="4"/>
      <c r="S31" s="3">
        <f t="shared" si="1"/>
        <v>0</v>
      </c>
      <c r="T31" s="5"/>
    </row>
    <row r="32" spans="1:20" ht="28.5" x14ac:dyDescent="0.25">
      <c r="A32" s="3" t="s">
        <v>229</v>
      </c>
      <c r="B32" s="3" t="s">
        <v>222</v>
      </c>
      <c r="C32" s="3">
        <v>4</v>
      </c>
      <c r="D32" s="3">
        <v>1</v>
      </c>
      <c r="E32" s="2" t="s">
        <v>336</v>
      </c>
      <c r="F32" s="3">
        <v>11</v>
      </c>
      <c r="G32" s="4" t="s">
        <v>514</v>
      </c>
      <c r="H32" s="4">
        <v>2</v>
      </c>
      <c r="I32" s="4"/>
      <c r="J32" s="4"/>
      <c r="K32" s="4">
        <v>1</v>
      </c>
      <c r="L32" s="3">
        <f t="shared" si="0"/>
        <v>8</v>
      </c>
      <c r="M32" s="4"/>
      <c r="N32" s="4">
        <v>1</v>
      </c>
      <c r="O32" s="4"/>
      <c r="P32" s="4"/>
      <c r="Q32" s="4"/>
      <c r="R32" s="4"/>
      <c r="S32" s="3">
        <f t="shared" si="1"/>
        <v>1</v>
      </c>
      <c r="T32" s="5"/>
    </row>
    <row r="33" spans="1:20" ht="28.5" x14ac:dyDescent="0.25">
      <c r="A33" s="3" t="s">
        <v>229</v>
      </c>
      <c r="B33" s="3" t="s">
        <v>222</v>
      </c>
      <c r="C33" s="3">
        <v>4</v>
      </c>
      <c r="D33" s="3">
        <v>2</v>
      </c>
      <c r="E33" s="2" t="s">
        <v>337</v>
      </c>
      <c r="F33" s="3">
        <v>5</v>
      </c>
      <c r="G33" s="4" t="s">
        <v>514</v>
      </c>
      <c r="H33" s="4">
        <v>2</v>
      </c>
      <c r="I33" s="4"/>
      <c r="J33" s="4"/>
      <c r="K33" s="4"/>
      <c r="L33" s="3">
        <f t="shared" si="0"/>
        <v>3</v>
      </c>
      <c r="M33" s="4"/>
      <c r="N33" s="4"/>
      <c r="O33" s="4"/>
      <c r="P33" s="4"/>
      <c r="Q33" s="4"/>
      <c r="R33" s="4"/>
      <c r="S33" s="3">
        <f t="shared" si="1"/>
        <v>0</v>
      </c>
      <c r="T33" s="5"/>
    </row>
    <row r="34" spans="1:20" ht="28.5" x14ac:dyDescent="0.25">
      <c r="A34" s="3" t="s">
        <v>229</v>
      </c>
      <c r="B34" s="3" t="s">
        <v>222</v>
      </c>
      <c r="C34" s="3">
        <v>4</v>
      </c>
      <c r="D34" s="3">
        <v>3</v>
      </c>
      <c r="E34" s="2" t="s">
        <v>338</v>
      </c>
      <c r="F34" s="3">
        <v>7</v>
      </c>
      <c r="G34" s="4" t="s">
        <v>514</v>
      </c>
      <c r="H34" s="4">
        <v>1</v>
      </c>
      <c r="I34" s="4"/>
      <c r="J34" s="4"/>
      <c r="K34" s="4">
        <v>1</v>
      </c>
      <c r="L34" s="3">
        <f t="shared" si="0"/>
        <v>5</v>
      </c>
      <c r="M34" s="4"/>
      <c r="N34" s="4">
        <v>1</v>
      </c>
      <c r="O34" s="4"/>
      <c r="P34" s="4"/>
      <c r="Q34" s="4"/>
      <c r="R34" s="4"/>
      <c r="S34" s="3">
        <f t="shared" si="1"/>
        <v>1</v>
      </c>
      <c r="T34" s="5"/>
    </row>
    <row r="35" spans="1:20" x14ac:dyDescent="0.25">
      <c r="A35" s="3" t="s">
        <v>231</v>
      </c>
      <c r="B35" s="3" t="s">
        <v>222</v>
      </c>
      <c r="C35" s="3">
        <v>5</v>
      </c>
      <c r="D35" s="3">
        <v>1</v>
      </c>
      <c r="E35" s="2" t="s">
        <v>232</v>
      </c>
      <c r="F35" s="3">
        <v>2</v>
      </c>
      <c r="G35" s="4" t="s">
        <v>515</v>
      </c>
      <c r="H35" s="4"/>
      <c r="I35" s="4"/>
      <c r="J35" s="4"/>
      <c r="K35" s="4"/>
      <c r="L35" s="3">
        <f t="shared" si="0"/>
        <v>2</v>
      </c>
      <c r="M35" s="4"/>
      <c r="N35" s="4"/>
      <c r="O35" s="4"/>
      <c r="P35" s="4"/>
      <c r="Q35" s="4"/>
      <c r="R35" s="4"/>
      <c r="S35" s="3">
        <f t="shared" si="1"/>
        <v>0</v>
      </c>
      <c r="T35" s="5"/>
    </row>
    <row r="36" spans="1:20" ht="28.5" x14ac:dyDescent="0.25">
      <c r="A36" s="3" t="s">
        <v>233</v>
      </c>
      <c r="B36" s="3" t="s">
        <v>234</v>
      </c>
      <c r="C36" s="3">
        <v>1</v>
      </c>
      <c r="D36" s="3">
        <v>1</v>
      </c>
      <c r="E36" s="2" t="s">
        <v>236</v>
      </c>
      <c r="F36" s="3">
        <v>8</v>
      </c>
      <c r="G36" s="4" t="s">
        <v>514</v>
      </c>
      <c r="H36" s="4">
        <v>2</v>
      </c>
      <c r="I36" s="4"/>
      <c r="J36" s="4"/>
      <c r="K36" s="4"/>
      <c r="L36" s="3">
        <f t="shared" si="0"/>
        <v>6</v>
      </c>
      <c r="M36" s="4"/>
      <c r="N36" s="4"/>
      <c r="O36" s="4"/>
      <c r="P36" s="4"/>
      <c r="Q36" s="4"/>
      <c r="R36" s="4"/>
      <c r="S36" s="3">
        <f t="shared" si="1"/>
        <v>0</v>
      </c>
      <c r="T36" s="5"/>
    </row>
    <row r="37" spans="1:20" ht="28.5" x14ac:dyDescent="0.25">
      <c r="A37" s="3" t="s">
        <v>237</v>
      </c>
      <c r="B37" s="3" t="s">
        <v>234</v>
      </c>
      <c r="C37" s="3">
        <v>2</v>
      </c>
      <c r="D37" s="3">
        <v>1</v>
      </c>
      <c r="E37" s="2" t="s">
        <v>339</v>
      </c>
      <c r="F37" s="3">
        <v>2</v>
      </c>
      <c r="G37" s="4" t="s">
        <v>513</v>
      </c>
      <c r="H37" s="4"/>
      <c r="I37" s="4"/>
      <c r="J37" s="4">
        <v>1</v>
      </c>
      <c r="K37" s="4"/>
      <c r="L37" s="3">
        <f t="shared" si="0"/>
        <v>1</v>
      </c>
      <c r="M37" s="4"/>
      <c r="N37" s="4"/>
      <c r="O37" s="4"/>
      <c r="P37" s="4"/>
      <c r="Q37" s="4"/>
      <c r="R37" s="4"/>
      <c r="S37" s="3">
        <f t="shared" si="1"/>
        <v>0</v>
      </c>
      <c r="T37" s="5"/>
    </row>
    <row r="38" spans="1:20" ht="28.5" x14ac:dyDescent="0.25">
      <c r="A38" s="3" t="s">
        <v>237</v>
      </c>
      <c r="B38" s="3" t="s">
        <v>234</v>
      </c>
      <c r="C38" s="3">
        <v>2</v>
      </c>
      <c r="D38" s="3">
        <v>2</v>
      </c>
      <c r="E38" s="2" t="s">
        <v>340</v>
      </c>
      <c r="F38" s="3">
        <v>3</v>
      </c>
      <c r="G38" s="4" t="s">
        <v>514</v>
      </c>
      <c r="H38" s="4">
        <v>1</v>
      </c>
      <c r="I38" s="4"/>
      <c r="J38" s="4"/>
      <c r="K38" s="4"/>
      <c r="L38" s="3">
        <f t="shared" si="0"/>
        <v>2</v>
      </c>
      <c r="M38" s="4"/>
      <c r="N38" s="4"/>
      <c r="O38" s="4"/>
      <c r="P38" s="4"/>
      <c r="Q38" s="4"/>
      <c r="R38" s="4"/>
      <c r="S38" s="3">
        <f t="shared" si="1"/>
        <v>0</v>
      </c>
      <c r="T38" s="5"/>
    </row>
    <row r="39" spans="1:20" ht="42.75" x14ac:dyDescent="0.25">
      <c r="A39" s="3" t="s">
        <v>237</v>
      </c>
      <c r="B39" s="3" t="s">
        <v>234</v>
      </c>
      <c r="C39" s="3">
        <v>2</v>
      </c>
      <c r="D39" s="3">
        <v>3</v>
      </c>
      <c r="E39" s="2" t="s">
        <v>341</v>
      </c>
      <c r="F39" s="3">
        <v>13</v>
      </c>
      <c r="G39" s="4" t="s">
        <v>514</v>
      </c>
      <c r="H39" s="4">
        <v>3</v>
      </c>
      <c r="I39" s="4"/>
      <c r="J39" s="4"/>
      <c r="K39" s="4"/>
      <c r="L39" s="3">
        <f t="shared" si="0"/>
        <v>10</v>
      </c>
      <c r="M39" s="4"/>
      <c r="N39" s="4"/>
      <c r="O39" s="4"/>
      <c r="P39" s="4"/>
      <c r="Q39" s="4"/>
      <c r="R39" s="4"/>
      <c r="S39" s="3">
        <f t="shared" si="1"/>
        <v>0</v>
      </c>
      <c r="T39" s="5"/>
    </row>
    <row r="40" spans="1:20" ht="28.5" x14ac:dyDescent="0.25">
      <c r="A40" s="3" t="s">
        <v>239</v>
      </c>
      <c r="B40" s="3" t="s">
        <v>234</v>
      </c>
      <c r="C40" s="3">
        <v>3</v>
      </c>
      <c r="D40" s="3">
        <v>1</v>
      </c>
      <c r="E40" s="2" t="s">
        <v>342</v>
      </c>
      <c r="F40" s="3">
        <v>2</v>
      </c>
      <c r="G40" s="4" t="s">
        <v>514</v>
      </c>
      <c r="H40" s="4">
        <v>1</v>
      </c>
      <c r="I40" s="4"/>
      <c r="J40" s="4"/>
      <c r="K40" s="4"/>
      <c r="L40" s="3">
        <f t="shared" si="0"/>
        <v>1</v>
      </c>
      <c r="M40" s="4"/>
      <c r="N40" s="4"/>
      <c r="O40" s="4"/>
      <c r="P40" s="4"/>
      <c r="Q40" s="4"/>
      <c r="R40" s="4"/>
      <c r="S40" s="3">
        <f t="shared" si="1"/>
        <v>0</v>
      </c>
      <c r="T40" s="5"/>
    </row>
    <row r="41" spans="1:20" ht="28.5" x14ac:dyDescent="0.25">
      <c r="A41" s="3" t="s">
        <v>239</v>
      </c>
      <c r="B41" s="3" t="s">
        <v>234</v>
      </c>
      <c r="C41" s="3">
        <v>3</v>
      </c>
      <c r="D41" s="3">
        <v>2</v>
      </c>
      <c r="E41" s="2" t="s">
        <v>343</v>
      </c>
      <c r="F41" s="3">
        <v>13</v>
      </c>
      <c r="G41" s="4" t="s">
        <v>514</v>
      </c>
      <c r="H41" s="4">
        <v>4</v>
      </c>
      <c r="I41" s="4"/>
      <c r="J41" s="4"/>
      <c r="K41" s="4"/>
      <c r="L41" s="3">
        <f t="shared" si="0"/>
        <v>9</v>
      </c>
      <c r="M41" s="4"/>
      <c r="N41" s="4"/>
      <c r="O41" s="4"/>
      <c r="P41" s="4"/>
      <c r="Q41" s="4"/>
      <c r="R41" s="4"/>
      <c r="S41" s="3">
        <f t="shared" si="1"/>
        <v>0</v>
      </c>
      <c r="T41" s="5"/>
    </row>
    <row r="42" spans="1:20" x14ac:dyDescent="0.25">
      <c r="A42" s="3" t="s">
        <v>239</v>
      </c>
      <c r="B42" s="3" t="s">
        <v>234</v>
      </c>
      <c r="C42" s="3">
        <v>3</v>
      </c>
      <c r="D42" s="3">
        <v>3</v>
      </c>
      <c r="E42" s="2" t="s">
        <v>344</v>
      </c>
      <c r="F42" s="3">
        <v>2</v>
      </c>
      <c r="G42" s="4" t="s">
        <v>515</v>
      </c>
      <c r="H42" s="4"/>
      <c r="I42" s="4"/>
      <c r="J42" s="4"/>
      <c r="K42" s="4"/>
      <c r="L42" s="3">
        <f t="shared" si="0"/>
        <v>2</v>
      </c>
      <c r="M42" s="4"/>
      <c r="N42" s="4"/>
      <c r="O42" s="4"/>
      <c r="P42" s="4"/>
      <c r="Q42" s="4"/>
      <c r="R42" s="4"/>
      <c r="S42" s="3">
        <f t="shared" si="1"/>
        <v>0</v>
      </c>
      <c r="T42" s="5"/>
    </row>
    <row r="43" spans="1:20" ht="28.5" x14ac:dyDescent="0.25">
      <c r="A43" s="3" t="s">
        <v>241</v>
      </c>
      <c r="B43" s="3" t="s">
        <v>234</v>
      </c>
      <c r="C43" s="3">
        <v>4</v>
      </c>
      <c r="D43" s="3">
        <v>1</v>
      </c>
      <c r="E43" s="2" t="s">
        <v>345</v>
      </c>
      <c r="F43" s="3">
        <v>2</v>
      </c>
      <c r="G43" s="4" t="s">
        <v>514</v>
      </c>
      <c r="H43" s="4">
        <v>1</v>
      </c>
      <c r="I43" s="4"/>
      <c r="J43" s="4"/>
      <c r="K43" s="4"/>
      <c r="L43" s="3">
        <f t="shared" si="0"/>
        <v>1</v>
      </c>
      <c r="M43" s="4"/>
      <c r="N43" s="4"/>
      <c r="O43" s="4"/>
      <c r="P43" s="4"/>
      <c r="Q43" s="4"/>
      <c r="R43" s="4"/>
      <c r="S43" s="3">
        <f t="shared" si="1"/>
        <v>0</v>
      </c>
      <c r="T43" s="5"/>
    </row>
    <row r="44" spans="1:20" ht="28.5" x14ac:dyDescent="0.25">
      <c r="A44" s="3" t="s">
        <v>241</v>
      </c>
      <c r="B44" s="3" t="s">
        <v>234</v>
      </c>
      <c r="C44" s="3">
        <v>4</v>
      </c>
      <c r="D44" s="3">
        <v>2</v>
      </c>
      <c r="E44" s="2" t="s">
        <v>346</v>
      </c>
      <c r="F44" s="3">
        <v>11</v>
      </c>
      <c r="G44" s="4" t="s">
        <v>514</v>
      </c>
      <c r="H44" s="4">
        <v>2</v>
      </c>
      <c r="I44" s="4"/>
      <c r="J44" s="4">
        <v>1</v>
      </c>
      <c r="K44" s="4"/>
      <c r="L44" s="3">
        <f t="shared" si="0"/>
        <v>8</v>
      </c>
      <c r="M44" s="4"/>
      <c r="N44" s="4"/>
      <c r="O44" s="4"/>
      <c r="P44" s="4"/>
      <c r="Q44" s="4"/>
      <c r="R44" s="4"/>
      <c r="S44" s="3">
        <f t="shared" si="1"/>
        <v>0</v>
      </c>
      <c r="T44" s="5"/>
    </row>
    <row r="45" spans="1:20" ht="42.75" x14ac:dyDescent="0.25">
      <c r="A45" s="3" t="s">
        <v>241</v>
      </c>
      <c r="B45" s="3" t="s">
        <v>234</v>
      </c>
      <c r="C45" s="3">
        <v>4</v>
      </c>
      <c r="D45" s="3">
        <v>3</v>
      </c>
      <c r="E45" s="2" t="s">
        <v>347</v>
      </c>
      <c r="F45" s="3">
        <v>11</v>
      </c>
      <c r="G45" s="4" t="s">
        <v>514</v>
      </c>
      <c r="H45" s="4">
        <v>2</v>
      </c>
      <c r="I45" s="4">
        <v>1</v>
      </c>
      <c r="J45" s="4">
        <v>1</v>
      </c>
      <c r="K45" s="4">
        <v>1</v>
      </c>
      <c r="L45" s="3">
        <f t="shared" si="0"/>
        <v>6</v>
      </c>
      <c r="M45" s="4"/>
      <c r="N45" s="4">
        <v>1</v>
      </c>
      <c r="O45" s="4"/>
      <c r="P45" s="4"/>
      <c r="Q45" s="4"/>
      <c r="R45" s="4"/>
      <c r="S45" s="3">
        <f t="shared" si="1"/>
        <v>1</v>
      </c>
      <c r="T45" s="5"/>
    </row>
    <row r="46" spans="1:20" ht="28.5" x14ac:dyDescent="0.25">
      <c r="A46" s="3" t="s">
        <v>243</v>
      </c>
      <c r="B46" s="3" t="s">
        <v>234</v>
      </c>
      <c r="C46" s="3">
        <v>5</v>
      </c>
      <c r="D46" s="3">
        <v>1</v>
      </c>
      <c r="E46" s="2" t="s">
        <v>348</v>
      </c>
      <c r="F46" s="3">
        <v>2</v>
      </c>
      <c r="G46" s="4" t="s">
        <v>514</v>
      </c>
      <c r="H46" s="4">
        <v>1</v>
      </c>
      <c r="I46" s="4"/>
      <c r="J46" s="4"/>
      <c r="K46" s="4"/>
      <c r="L46" s="3">
        <f t="shared" si="0"/>
        <v>1</v>
      </c>
      <c r="M46" s="4"/>
      <c r="N46" s="4"/>
      <c r="O46" s="4"/>
      <c r="P46" s="4"/>
      <c r="Q46" s="4"/>
      <c r="R46" s="4"/>
      <c r="S46" s="3">
        <f t="shared" si="1"/>
        <v>0</v>
      </c>
      <c r="T46" s="5"/>
    </row>
    <row r="47" spans="1:20" ht="28.5" x14ac:dyDescent="0.25">
      <c r="A47" s="3" t="s">
        <v>243</v>
      </c>
      <c r="B47" s="3" t="s">
        <v>234</v>
      </c>
      <c r="C47" s="3">
        <v>5</v>
      </c>
      <c r="D47" s="3">
        <v>2</v>
      </c>
      <c r="E47" s="2" t="s">
        <v>349</v>
      </c>
      <c r="F47" s="3">
        <v>1</v>
      </c>
      <c r="G47" s="4" t="s">
        <v>514</v>
      </c>
      <c r="H47" s="4">
        <v>1</v>
      </c>
      <c r="I47" s="4"/>
      <c r="J47" s="4"/>
      <c r="K47" s="4"/>
      <c r="L47" s="3">
        <f t="shared" si="0"/>
        <v>0</v>
      </c>
      <c r="M47" s="4"/>
      <c r="N47" s="4"/>
      <c r="O47" s="4"/>
      <c r="P47" s="4"/>
      <c r="Q47" s="4"/>
      <c r="R47" s="4"/>
      <c r="S47" s="3">
        <f t="shared" si="1"/>
        <v>0</v>
      </c>
      <c r="T47" s="5"/>
    </row>
    <row r="48" spans="1:20" x14ac:dyDescent="0.25">
      <c r="A48" s="3" t="s">
        <v>245</v>
      </c>
      <c r="B48" s="3" t="s">
        <v>246</v>
      </c>
      <c r="C48" s="3">
        <v>1</v>
      </c>
      <c r="D48" s="3">
        <v>1</v>
      </c>
      <c r="E48" s="2" t="s">
        <v>350</v>
      </c>
      <c r="F48" s="3">
        <v>4</v>
      </c>
      <c r="G48" s="4" t="s">
        <v>515</v>
      </c>
      <c r="H48" s="4"/>
      <c r="I48" s="4"/>
      <c r="J48" s="4"/>
      <c r="K48" s="4"/>
      <c r="L48" s="3">
        <f t="shared" si="0"/>
        <v>4</v>
      </c>
      <c r="M48" s="4"/>
      <c r="N48" s="4"/>
      <c r="O48" s="4"/>
      <c r="P48" s="4"/>
      <c r="Q48" s="4"/>
      <c r="R48" s="4"/>
      <c r="S48" s="3">
        <f t="shared" si="1"/>
        <v>0</v>
      </c>
      <c r="T48" s="5"/>
    </row>
    <row r="49" spans="1:20" x14ac:dyDescent="0.25">
      <c r="A49" s="3" t="s">
        <v>245</v>
      </c>
      <c r="B49" s="3" t="s">
        <v>246</v>
      </c>
      <c r="C49" s="3">
        <v>1</v>
      </c>
      <c r="D49" s="3">
        <v>2</v>
      </c>
      <c r="E49" s="2" t="s">
        <v>351</v>
      </c>
      <c r="F49" s="3">
        <v>6</v>
      </c>
      <c r="G49" s="4" t="s">
        <v>515</v>
      </c>
      <c r="H49" s="4"/>
      <c r="I49" s="4"/>
      <c r="J49" s="4"/>
      <c r="K49" s="4"/>
      <c r="L49" s="3">
        <f t="shared" si="0"/>
        <v>6</v>
      </c>
      <c r="M49" s="4"/>
      <c r="N49" s="4"/>
      <c r="O49" s="4"/>
      <c r="P49" s="4"/>
      <c r="Q49" s="4"/>
      <c r="R49" s="4"/>
      <c r="S49" s="3">
        <f t="shared" si="1"/>
        <v>0</v>
      </c>
      <c r="T49" s="5"/>
    </row>
    <row r="50" spans="1:20" x14ac:dyDescent="0.25">
      <c r="A50" s="3" t="s">
        <v>245</v>
      </c>
      <c r="B50" s="3" t="s">
        <v>246</v>
      </c>
      <c r="C50" s="3">
        <v>1</v>
      </c>
      <c r="D50" s="3">
        <v>3</v>
      </c>
      <c r="E50" s="2" t="s">
        <v>352</v>
      </c>
      <c r="F50" s="3">
        <v>5</v>
      </c>
      <c r="G50" s="4" t="s">
        <v>515</v>
      </c>
      <c r="H50" s="4"/>
      <c r="I50" s="4"/>
      <c r="J50" s="4"/>
      <c r="K50" s="4"/>
      <c r="L50" s="3">
        <f t="shared" si="0"/>
        <v>5</v>
      </c>
      <c r="M50" s="4"/>
      <c r="N50" s="4"/>
      <c r="O50" s="4"/>
      <c r="P50" s="4"/>
      <c r="Q50" s="4"/>
      <c r="R50" s="4"/>
      <c r="S50" s="3">
        <f t="shared" si="1"/>
        <v>0</v>
      </c>
      <c r="T50" s="5"/>
    </row>
    <row r="51" spans="1:20" x14ac:dyDescent="0.25">
      <c r="A51" s="3" t="s">
        <v>245</v>
      </c>
      <c r="B51" s="3" t="s">
        <v>246</v>
      </c>
      <c r="C51" s="3">
        <v>1</v>
      </c>
      <c r="D51" s="3">
        <v>4</v>
      </c>
      <c r="E51" s="2" t="s">
        <v>353</v>
      </c>
      <c r="F51" s="3">
        <v>4</v>
      </c>
      <c r="G51" s="4" t="s">
        <v>515</v>
      </c>
      <c r="H51" s="4"/>
      <c r="I51" s="4"/>
      <c r="J51" s="4"/>
      <c r="K51" s="4"/>
      <c r="L51" s="3">
        <f t="shared" si="0"/>
        <v>4</v>
      </c>
      <c r="M51" s="4"/>
      <c r="N51" s="4"/>
      <c r="O51" s="4"/>
      <c r="P51" s="4"/>
      <c r="Q51" s="4"/>
      <c r="R51" s="4"/>
      <c r="S51" s="3">
        <f t="shared" si="1"/>
        <v>0</v>
      </c>
      <c r="T51" s="5"/>
    </row>
    <row r="52" spans="1:20" x14ac:dyDescent="0.25">
      <c r="A52" s="3" t="s">
        <v>245</v>
      </c>
      <c r="B52" s="3" t="s">
        <v>246</v>
      </c>
      <c r="C52" s="3">
        <v>1</v>
      </c>
      <c r="D52" s="3">
        <v>5</v>
      </c>
      <c r="E52" s="2" t="s">
        <v>354</v>
      </c>
      <c r="F52" s="3">
        <v>3</v>
      </c>
      <c r="G52" s="4" t="s">
        <v>515</v>
      </c>
      <c r="H52" s="4"/>
      <c r="I52" s="4"/>
      <c r="J52" s="4"/>
      <c r="K52" s="4"/>
      <c r="L52" s="3">
        <f t="shared" si="0"/>
        <v>3</v>
      </c>
      <c r="M52" s="4"/>
      <c r="N52" s="4"/>
      <c r="O52" s="4"/>
      <c r="P52" s="4"/>
      <c r="Q52" s="4"/>
      <c r="R52" s="4"/>
      <c r="S52" s="3">
        <f t="shared" si="1"/>
        <v>0</v>
      </c>
      <c r="T52" s="5"/>
    </row>
    <row r="53" spans="1:20" x14ac:dyDescent="0.25">
      <c r="A53" s="3" t="s">
        <v>245</v>
      </c>
      <c r="B53" s="3" t="s">
        <v>246</v>
      </c>
      <c r="C53" s="3">
        <v>1</v>
      </c>
      <c r="D53" s="3">
        <v>6</v>
      </c>
      <c r="E53" s="2" t="s">
        <v>355</v>
      </c>
      <c r="F53" s="3">
        <v>3</v>
      </c>
      <c r="G53" s="4" t="s">
        <v>515</v>
      </c>
      <c r="H53" s="4"/>
      <c r="I53" s="4"/>
      <c r="J53" s="4"/>
      <c r="K53" s="4"/>
      <c r="L53" s="3">
        <f t="shared" si="0"/>
        <v>3</v>
      </c>
      <c r="M53" s="4"/>
      <c r="N53" s="4"/>
      <c r="O53" s="4"/>
      <c r="P53" s="4"/>
      <c r="Q53" s="4"/>
      <c r="R53" s="4"/>
      <c r="S53" s="3">
        <f t="shared" si="1"/>
        <v>0</v>
      </c>
      <c r="T53" s="5"/>
    </row>
    <row r="54" spans="1:20" x14ac:dyDescent="0.25">
      <c r="A54" s="3" t="s">
        <v>245</v>
      </c>
      <c r="B54" s="3" t="s">
        <v>246</v>
      </c>
      <c r="C54" s="3">
        <v>1</v>
      </c>
      <c r="D54" s="3">
        <v>7</v>
      </c>
      <c r="E54" s="2" t="s">
        <v>356</v>
      </c>
      <c r="F54" s="3">
        <v>4</v>
      </c>
      <c r="G54" s="4" t="s">
        <v>515</v>
      </c>
      <c r="H54" s="4"/>
      <c r="I54" s="4"/>
      <c r="J54" s="4"/>
      <c r="K54" s="4"/>
      <c r="L54" s="3">
        <f t="shared" si="0"/>
        <v>4</v>
      </c>
      <c r="M54" s="4"/>
      <c r="N54" s="4"/>
      <c r="O54" s="4"/>
      <c r="P54" s="4"/>
      <c r="Q54" s="4"/>
      <c r="R54" s="4"/>
      <c r="S54" s="3">
        <f t="shared" si="1"/>
        <v>0</v>
      </c>
      <c r="T54" s="5"/>
    </row>
    <row r="55" spans="1:20" x14ac:dyDescent="0.25">
      <c r="A55" s="3" t="s">
        <v>245</v>
      </c>
      <c r="B55" s="3" t="s">
        <v>246</v>
      </c>
      <c r="C55" s="3">
        <v>1</v>
      </c>
      <c r="D55" s="3">
        <v>8</v>
      </c>
      <c r="E55" s="2" t="s">
        <v>357</v>
      </c>
      <c r="F55" s="3">
        <v>3</v>
      </c>
      <c r="G55" s="4" t="s">
        <v>515</v>
      </c>
      <c r="H55" s="4"/>
      <c r="I55" s="4"/>
      <c r="J55" s="4"/>
      <c r="K55" s="4"/>
      <c r="L55" s="3">
        <f t="shared" si="0"/>
        <v>3</v>
      </c>
      <c r="M55" s="4"/>
      <c r="N55" s="4"/>
      <c r="O55" s="4"/>
      <c r="P55" s="4"/>
      <c r="Q55" s="4"/>
      <c r="R55" s="4"/>
      <c r="S55" s="3">
        <f t="shared" si="1"/>
        <v>0</v>
      </c>
      <c r="T55" s="5"/>
    </row>
    <row r="56" spans="1:20" x14ac:dyDescent="0.25">
      <c r="A56" s="3" t="s">
        <v>245</v>
      </c>
      <c r="B56" s="3" t="s">
        <v>246</v>
      </c>
      <c r="C56" s="3">
        <v>1</v>
      </c>
      <c r="D56" s="3">
        <v>9</v>
      </c>
      <c r="E56" s="2" t="s">
        <v>358</v>
      </c>
      <c r="F56" s="3">
        <v>8</v>
      </c>
      <c r="G56" s="4" t="s">
        <v>515</v>
      </c>
      <c r="H56" s="4"/>
      <c r="I56" s="4"/>
      <c r="J56" s="4"/>
      <c r="K56" s="4"/>
      <c r="L56" s="3">
        <f t="shared" si="0"/>
        <v>8</v>
      </c>
      <c r="M56" s="4"/>
      <c r="N56" s="4"/>
      <c r="O56" s="4"/>
      <c r="P56" s="4"/>
      <c r="Q56" s="4"/>
      <c r="R56" s="4"/>
      <c r="S56" s="3">
        <f t="shared" si="1"/>
        <v>0</v>
      </c>
      <c r="T56" s="5"/>
    </row>
    <row r="57" spans="1:20" x14ac:dyDescent="0.25">
      <c r="A57" s="3" t="s">
        <v>245</v>
      </c>
      <c r="B57" s="3" t="s">
        <v>246</v>
      </c>
      <c r="C57" s="3">
        <v>1</v>
      </c>
      <c r="D57" s="3">
        <v>10</v>
      </c>
      <c r="E57" s="2" t="s">
        <v>359</v>
      </c>
      <c r="F57" s="3">
        <v>6</v>
      </c>
      <c r="G57" s="4" t="s">
        <v>515</v>
      </c>
      <c r="H57" s="4"/>
      <c r="I57" s="4"/>
      <c r="J57" s="4"/>
      <c r="K57" s="4"/>
      <c r="L57" s="3">
        <f t="shared" si="0"/>
        <v>6</v>
      </c>
      <c r="M57" s="4"/>
      <c r="N57" s="4"/>
      <c r="O57" s="4"/>
      <c r="P57" s="4"/>
      <c r="Q57" s="4"/>
      <c r="R57" s="4"/>
      <c r="S57" s="3">
        <f t="shared" si="1"/>
        <v>0</v>
      </c>
      <c r="T57" s="5"/>
    </row>
    <row r="58" spans="1:20" ht="42.75" x14ac:dyDescent="0.25">
      <c r="A58" s="3" t="s">
        <v>245</v>
      </c>
      <c r="B58" s="3" t="s">
        <v>246</v>
      </c>
      <c r="C58" s="3">
        <v>1</v>
      </c>
      <c r="D58" s="3">
        <v>11</v>
      </c>
      <c r="E58" s="2" t="s">
        <v>360</v>
      </c>
      <c r="F58" s="3">
        <v>16</v>
      </c>
      <c r="G58" s="4" t="s">
        <v>515</v>
      </c>
      <c r="H58" s="4"/>
      <c r="I58" s="4"/>
      <c r="J58" s="4"/>
      <c r="K58" s="4"/>
      <c r="L58" s="3">
        <f t="shared" si="0"/>
        <v>16</v>
      </c>
      <c r="M58" s="4"/>
      <c r="N58" s="4"/>
      <c r="O58" s="4"/>
      <c r="P58" s="4"/>
      <c r="Q58" s="4"/>
      <c r="R58" s="4"/>
      <c r="S58" s="3">
        <f t="shared" si="1"/>
        <v>0</v>
      </c>
      <c r="T58" s="5"/>
    </row>
    <row r="59" spans="1:20" x14ac:dyDescent="0.25">
      <c r="A59" s="3" t="s">
        <v>249</v>
      </c>
      <c r="B59" s="3" t="s">
        <v>246</v>
      </c>
      <c r="C59" s="3">
        <v>2</v>
      </c>
      <c r="D59" s="3">
        <v>1</v>
      </c>
      <c r="E59" s="2" t="s">
        <v>350</v>
      </c>
      <c r="F59" s="3">
        <v>4</v>
      </c>
      <c r="G59" s="4" t="s">
        <v>515</v>
      </c>
      <c r="H59" s="4"/>
      <c r="I59" s="4"/>
      <c r="J59" s="4"/>
      <c r="K59" s="4"/>
      <c r="L59" s="3">
        <f t="shared" si="0"/>
        <v>4</v>
      </c>
      <c r="M59" s="4"/>
      <c r="N59" s="4"/>
      <c r="O59" s="4"/>
      <c r="P59" s="4"/>
      <c r="Q59" s="4"/>
      <c r="R59" s="4"/>
      <c r="S59" s="3">
        <f t="shared" si="1"/>
        <v>0</v>
      </c>
      <c r="T59" s="5"/>
    </row>
    <row r="60" spans="1:20" ht="28.5" x14ac:dyDescent="0.25">
      <c r="A60" s="3" t="s">
        <v>249</v>
      </c>
      <c r="B60" s="3" t="s">
        <v>246</v>
      </c>
      <c r="C60" s="3">
        <v>2</v>
      </c>
      <c r="D60" s="3">
        <v>2</v>
      </c>
      <c r="E60" s="2" t="s">
        <v>361</v>
      </c>
      <c r="F60" s="3">
        <v>4</v>
      </c>
      <c r="G60" s="4" t="s">
        <v>514</v>
      </c>
      <c r="H60" s="4">
        <v>1</v>
      </c>
      <c r="I60" s="4"/>
      <c r="J60" s="4"/>
      <c r="K60" s="4"/>
      <c r="L60" s="3">
        <f t="shared" si="0"/>
        <v>3</v>
      </c>
      <c r="M60" s="4"/>
      <c r="N60" s="4"/>
      <c r="O60" s="4"/>
      <c r="P60" s="4"/>
      <c r="Q60" s="4"/>
      <c r="R60" s="4"/>
      <c r="S60" s="3">
        <f t="shared" si="1"/>
        <v>0</v>
      </c>
      <c r="T60" s="5"/>
    </row>
    <row r="61" spans="1:20" x14ac:dyDescent="0.25">
      <c r="A61" s="3" t="s">
        <v>249</v>
      </c>
      <c r="B61" s="3" t="s">
        <v>246</v>
      </c>
      <c r="C61" s="3">
        <v>2</v>
      </c>
      <c r="D61" s="3">
        <v>3</v>
      </c>
      <c r="E61" s="2" t="s">
        <v>362</v>
      </c>
      <c r="F61" s="3">
        <v>5</v>
      </c>
      <c r="G61" s="4" t="s">
        <v>515</v>
      </c>
      <c r="H61" s="4"/>
      <c r="I61" s="4"/>
      <c r="J61" s="4"/>
      <c r="K61" s="4"/>
      <c r="L61" s="3">
        <f t="shared" si="0"/>
        <v>5</v>
      </c>
      <c r="M61" s="4"/>
      <c r="N61" s="4"/>
      <c r="O61" s="4"/>
      <c r="P61" s="4"/>
      <c r="Q61" s="4"/>
      <c r="R61" s="4"/>
      <c r="S61" s="3">
        <f t="shared" si="1"/>
        <v>0</v>
      </c>
      <c r="T61" s="5"/>
    </row>
    <row r="62" spans="1:20" x14ac:dyDescent="0.25">
      <c r="A62" s="3" t="s">
        <v>249</v>
      </c>
      <c r="B62" s="3" t="s">
        <v>246</v>
      </c>
      <c r="C62" s="3">
        <v>2</v>
      </c>
      <c r="D62" s="3">
        <v>4</v>
      </c>
      <c r="E62" s="2" t="s">
        <v>363</v>
      </c>
      <c r="F62" s="3">
        <v>5</v>
      </c>
      <c r="G62" s="4" t="s">
        <v>515</v>
      </c>
      <c r="H62" s="4"/>
      <c r="I62" s="4"/>
      <c r="J62" s="4"/>
      <c r="K62" s="4"/>
      <c r="L62" s="3">
        <f t="shared" si="0"/>
        <v>5</v>
      </c>
      <c r="M62" s="4"/>
      <c r="N62" s="4"/>
      <c r="O62" s="4"/>
      <c r="P62" s="4"/>
      <c r="Q62" s="4"/>
      <c r="R62" s="4"/>
      <c r="S62" s="3">
        <f t="shared" si="1"/>
        <v>0</v>
      </c>
      <c r="T62" s="5"/>
    </row>
    <row r="63" spans="1:20" x14ac:dyDescent="0.25">
      <c r="A63" s="3" t="s">
        <v>249</v>
      </c>
      <c r="B63" s="3" t="s">
        <v>246</v>
      </c>
      <c r="C63" s="3">
        <v>2</v>
      </c>
      <c r="D63" s="3">
        <v>5</v>
      </c>
      <c r="E63" s="2" t="s">
        <v>364</v>
      </c>
      <c r="F63" s="3">
        <v>2</v>
      </c>
      <c r="G63" s="4" t="s">
        <v>515</v>
      </c>
      <c r="H63" s="4"/>
      <c r="I63" s="4"/>
      <c r="J63" s="4"/>
      <c r="K63" s="4"/>
      <c r="L63" s="3">
        <f t="shared" si="0"/>
        <v>2</v>
      </c>
      <c r="M63" s="4"/>
      <c r="N63" s="4"/>
      <c r="O63" s="4"/>
      <c r="P63" s="4"/>
      <c r="Q63" s="4"/>
      <c r="R63" s="4"/>
      <c r="S63" s="3">
        <f t="shared" si="1"/>
        <v>0</v>
      </c>
      <c r="T63" s="5"/>
    </row>
    <row r="64" spans="1:20" x14ac:dyDescent="0.25">
      <c r="A64" s="3" t="s">
        <v>249</v>
      </c>
      <c r="B64" s="3" t="s">
        <v>246</v>
      </c>
      <c r="C64" s="3">
        <v>2</v>
      </c>
      <c r="D64" s="3">
        <v>6</v>
      </c>
      <c r="E64" s="2" t="s">
        <v>355</v>
      </c>
      <c r="F64" s="3">
        <v>3</v>
      </c>
      <c r="G64" s="4" t="s">
        <v>515</v>
      </c>
      <c r="H64" s="4"/>
      <c r="I64" s="4"/>
      <c r="J64" s="4"/>
      <c r="K64" s="4"/>
      <c r="L64" s="3">
        <f t="shared" si="0"/>
        <v>3</v>
      </c>
      <c r="M64" s="4"/>
      <c r="N64" s="4"/>
      <c r="O64" s="4"/>
      <c r="P64" s="4"/>
      <c r="Q64" s="4"/>
      <c r="R64" s="4"/>
      <c r="S64" s="3">
        <f t="shared" si="1"/>
        <v>0</v>
      </c>
      <c r="T64" s="5"/>
    </row>
    <row r="65" spans="1:20" x14ac:dyDescent="0.25">
      <c r="A65" s="3" t="s">
        <v>249</v>
      </c>
      <c r="B65" s="3" t="s">
        <v>246</v>
      </c>
      <c r="C65" s="3">
        <v>2</v>
      </c>
      <c r="D65" s="3">
        <v>7</v>
      </c>
      <c r="E65" s="2" t="s">
        <v>365</v>
      </c>
      <c r="F65" s="3">
        <v>4</v>
      </c>
      <c r="G65" s="4" t="s">
        <v>515</v>
      </c>
      <c r="H65" s="4"/>
      <c r="I65" s="4"/>
      <c r="J65" s="4"/>
      <c r="K65" s="4"/>
      <c r="L65" s="3">
        <f t="shared" si="0"/>
        <v>4</v>
      </c>
      <c r="M65" s="4"/>
      <c r="N65" s="4"/>
      <c r="O65" s="4"/>
      <c r="P65" s="4"/>
      <c r="Q65" s="4"/>
      <c r="R65" s="4"/>
      <c r="S65" s="3">
        <f t="shared" si="1"/>
        <v>0</v>
      </c>
      <c r="T65" s="5"/>
    </row>
    <row r="66" spans="1:20" x14ac:dyDescent="0.25">
      <c r="A66" s="3" t="s">
        <v>249</v>
      </c>
      <c r="B66" s="3" t="s">
        <v>246</v>
      </c>
      <c r="C66" s="3">
        <v>2</v>
      </c>
      <c r="D66" s="3">
        <v>8</v>
      </c>
      <c r="E66" s="2" t="s">
        <v>366</v>
      </c>
      <c r="F66" s="3">
        <v>4</v>
      </c>
      <c r="G66" s="4" t="s">
        <v>515</v>
      </c>
      <c r="H66" s="4"/>
      <c r="I66" s="4"/>
      <c r="J66" s="4"/>
      <c r="K66" s="4"/>
      <c r="L66" s="3">
        <f t="shared" ref="L66:L129" si="2">F66-(H66+I66+J66+K66)</f>
        <v>4</v>
      </c>
      <c r="M66" s="4"/>
      <c r="N66" s="4"/>
      <c r="O66" s="4"/>
      <c r="P66" s="4"/>
      <c r="Q66" s="4"/>
      <c r="R66" s="4"/>
      <c r="S66" s="3">
        <f t="shared" ref="S66:S129" si="3">N66+O66+P66+Q66+R66</f>
        <v>0</v>
      </c>
      <c r="T66" s="5"/>
    </row>
    <row r="67" spans="1:20" x14ac:dyDescent="0.25">
      <c r="A67" s="3" t="s">
        <v>249</v>
      </c>
      <c r="B67" s="3" t="s">
        <v>246</v>
      </c>
      <c r="C67" s="3">
        <v>2</v>
      </c>
      <c r="D67" s="3">
        <v>9</v>
      </c>
      <c r="E67" s="2" t="s">
        <v>367</v>
      </c>
      <c r="F67" s="3">
        <v>8</v>
      </c>
      <c r="G67" s="4" t="s">
        <v>515</v>
      </c>
      <c r="H67" s="4"/>
      <c r="I67" s="4"/>
      <c r="J67" s="4"/>
      <c r="K67" s="4"/>
      <c r="L67" s="3">
        <f t="shared" si="2"/>
        <v>8</v>
      </c>
      <c r="M67" s="4"/>
      <c r="N67" s="4"/>
      <c r="O67" s="4"/>
      <c r="P67" s="4"/>
      <c r="Q67" s="4"/>
      <c r="R67" s="4"/>
      <c r="S67" s="3">
        <f t="shared" si="3"/>
        <v>0</v>
      </c>
      <c r="T67" s="5"/>
    </row>
    <row r="68" spans="1:20" ht="28.5" x14ac:dyDescent="0.25">
      <c r="A68" s="3" t="s">
        <v>249</v>
      </c>
      <c r="B68" s="3" t="s">
        <v>246</v>
      </c>
      <c r="C68" s="3">
        <v>2</v>
      </c>
      <c r="D68" s="3">
        <v>10</v>
      </c>
      <c r="E68" s="2" t="s">
        <v>368</v>
      </c>
      <c r="F68" s="3">
        <v>7</v>
      </c>
      <c r="G68" s="4" t="s">
        <v>513</v>
      </c>
      <c r="H68" s="4">
        <v>1</v>
      </c>
      <c r="I68" s="4">
        <v>2</v>
      </c>
      <c r="J68" s="4"/>
      <c r="K68" s="4"/>
      <c r="L68" s="3">
        <f t="shared" si="2"/>
        <v>4</v>
      </c>
      <c r="M68" s="4"/>
      <c r="N68" s="4"/>
      <c r="O68" s="4"/>
      <c r="P68" s="4"/>
      <c r="Q68" s="4"/>
      <c r="R68" s="4"/>
      <c r="S68" s="3">
        <f t="shared" si="3"/>
        <v>0</v>
      </c>
      <c r="T68" s="5"/>
    </row>
    <row r="69" spans="1:20" ht="28.5" x14ac:dyDescent="0.25">
      <c r="A69" s="3" t="s">
        <v>249</v>
      </c>
      <c r="B69" s="3" t="s">
        <v>246</v>
      </c>
      <c r="C69" s="3">
        <v>2</v>
      </c>
      <c r="D69" s="3">
        <v>11</v>
      </c>
      <c r="E69" s="2" t="s">
        <v>369</v>
      </c>
      <c r="F69" s="3">
        <v>15</v>
      </c>
      <c r="G69" s="4" t="s">
        <v>515</v>
      </c>
      <c r="H69" s="4"/>
      <c r="I69" s="4"/>
      <c r="J69" s="4"/>
      <c r="K69" s="4"/>
      <c r="L69" s="3">
        <f t="shared" si="2"/>
        <v>15</v>
      </c>
      <c r="M69" s="4"/>
      <c r="N69" s="4"/>
      <c r="O69" s="4"/>
      <c r="P69" s="4"/>
      <c r="Q69" s="4"/>
      <c r="R69" s="4"/>
      <c r="S69" s="3">
        <f t="shared" si="3"/>
        <v>0</v>
      </c>
      <c r="T69" s="5"/>
    </row>
    <row r="70" spans="1:20" ht="42.75" x14ac:dyDescent="0.25">
      <c r="A70" s="3" t="s">
        <v>249</v>
      </c>
      <c r="B70" s="3" t="s">
        <v>246</v>
      </c>
      <c r="C70" s="3">
        <v>2</v>
      </c>
      <c r="D70" s="3">
        <v>12</v>
      </c>
      <c r="E70" s="2" t="s">
        <v>370</v>
      </c>
      <c r="F70" s="3">
        <v>13</v>
      </c>
      <c r="G70" s="4" t="s">
        <v>514</v>
      </c>
      <c r="H70" s="4">
        <v>3</v>
      </c>
      <c r="I70" s="4">
        <v>2</v>
      </c>
      <c r="J70" s="4">
        <v>1</v>
      </c>
      <c r="K70" s="4"/>
      <c r="L70" s="3">
        <f t="shared" si="2"/>
        <v>7</v>
      </c>
      <c r="M70" s="4"/>
      <c r="N70" s="4"/>
      <c r="O70" s="4"/>
      <c r="P70" s="4"/>
      <c r="Q70" s="4"/>
      <c r="R70" s="4"/>
      <c r="S70" s="3">
        <f t="shared" si="3"/>
        <v>0</v>
      </c>
      <c r="T70" s="5"/>
    </row>
    <row r="71" spans="1:20" ht="28.5" x14ac:dyDescent="0.25">
      <c r="A71" s="3" t="s">
        <v>251</v>
      </c>
      <c r="B71" s="3" t="s">
        <v>246</v>
      </c>
      <c r="C71" s="3">
        <v>3</v>
      </c>
      <c r="D71" s="3">
        <v>1</v>
      </c>
      <c r="E71" s="2" t="s">
        <v>371</v>
      </c>
      <c r="F71" s="3">
        <v>4</v>
      </c>
      <c r="G71" s="4" t="s">
        <v>514</v>
      </c>
      <c r="H71" s="4">
        <v>3</v>
      </c>
      <c r="I71" s="4"/>
      <c r="J71" s="4">
        <v>1</v>
      </c>
      <c r="K71" s="4"/>
      <c r="L71" s="3">
        <f t="shared" si="2"/>
        <v>0</v>
      </c>
      <c r="M71" s="4"/>
      <c r="N71" s="4"/>
      <c r="O71" s="4"/>
      <c r="P71" s="4"/>
      <c r="Q71" s="4"/>
      <c r="R71" s="4"/>
      <c r="S71" s="3">
        <f t="shared" si="3"/>
        <v>0</v>
      </c>
      <c r="T71" s="5"/>
    </row>
    <row r="72" spans="1:20" x14ac:dyDescent="0.25">
      <c r="A72" s="3" t="s">
        <v>251</v>
      </c>
      <c r="B72" s="3" t="s">
        <v>246</v>
      </c>
      <c r="C72" s="3">
        <v>3</v>
      </c>
      <c r="D72" s="3">
        <v>2</v>
      </c>
      <c r="E72" s="2" t="s">
        <v>372</v>
      </c>
      <c r="F72" s="3">
        <v>4</v>
      </c>
      <c r="G72" s="4" t="s">
        <v>515</v>
      </c>
      <c r="H72" s="4"/>
      <c r="I72" s="4"/>
      <c r="J72" s="4"/>
      <c r="K72" s="4"/>
      <c r="L72" s="3">
        <f t="shared" si="2"/>
        <v>4</v>
      </c>
      <c r="M72" s="4"/>
      <c r="N72" s="4"/>
      <c r="O72" s="4"/>
      <c r="P72" s="4"/>
      <c r="Q72" s="4"/>
      <c r="R72" s="4"/>
      <c r="S72" s="3">
        <f t="shared" si="3"/>
        <v>0</v>
      </c>
      <c r="T72" s="5"/>
    </row>
    <row r="73" spans="1:20" x14ac:dyDescent="0.25">
      <c r="A73" s="3" t="s">
        <v>251</v>
      </c>
      <c r="B73" s="3" t="s">
        <v>246</v>
      </c>
      <c r="C73" s="3">
        <v>3</v>
      </c>
      <c r="D73" s="3">
        <v>3</v>
      </c>
      <c r="E73" s="2" t="s">
        <v>373</v>
      </c>
      <c r="F73" s="3">
        <v>4</v>
      </c>
      <c r="G73" s="4" t="s">
        <v>515</v>
      </c>
      <c r="H73" s="4"/>
      <c r="I73" s="4"/>
      <c r="J73" s="4"/>
      <c r="K73" s="4"/>
      <c r="L73" s="3">
        <f t="shared" si="2"/>
        <v>4</v>
      </c>
      <c r="M73" s="4"/>
      <c r="N73" s="4"/>
      <c r="O73" s="4"/>
      <c r="P73" s="4"/>
      <c r="Q73" s="4"/>
      <c r="R73" s="4"/>
      <c r="S73" s="3">
        <f t="shared" si="3"/>
        <v>0</v>
      </c>
      <c r="T73" s="5"/>
    </row>
    <row r="74" spans="1:20" x14ac:dyDescent="0.25">
      <c r="A74" s="3" t="s">
        <v>251</v>
      </c>
      <c r="B74" s="3" t="s">
        <v>246</v>
      </c>
      <c r="C74" s="3">
        <v>3</v>
      </c>
      <c r="D74" s="3">
        <v>4</v>
      </c>
      <c r="E74" s="2" t="s">
        <v>374</v>
      </c>
      <c r="F74" s="3">
        <v>5</v>
      </c>
      <c r="G74" s="4" t="s">
        <v>515</v>
      </c>
      <c r="H74" s="4"/>
      <c r="I74" s="4"/>
      <c r="J74" s="4"/>
      <c r="K74" s="4"/>
      <c r="L74" s="3">
        <f t="shared" si="2"/>
        <v>5</v>
      </c>
      <c r="M74" s="4"/>
      <c r="N74" s="4"/>
      <c r="O74" s="4"/>
      <c r="P74" s="4"/>
      <c r="Q74" s="4"/>
      <c r="R74" s="4"/>
      <c r="S74" s="3">
        <f t="shared" si="3"/>
        <v>0</v>
      </c>
      <c r="T74" s="5"/>
    </row>
    <row r="75" spans="1:20" x14ac:dyDescent="0.25">
      <c r="A75" s="3" t="s">
        <v>251</v>
      </c>
      <c r="B75" s="3" t="s">
        <v>246</v>
      </c>
      <c r="C75" s="3">
        <v>3</v>
      </c>
      <c r="D75" s="3">
        <v>5</v>
      </c>
      <c r="E75" s="2" t="s">
        <v>353</v>
      </c>
      <c r="F75" s="3">
        <v>4</v>
      </c>
      <c r="G75" s="4" t="s">
        <v>515</v>
      </c>
      <c r="H75" s="4"/>
      <c r="I75" s="4"/>
      <c r="J75" s="4"/>
      <c r="K75" s="4"/>
      <c r="L75" s="3">
        <f t="shared" si="2"/>
        <v>4</v>
      </c>
      <c r="M75" s="4"/>
      <c r="N75" s="4"/>
      <c r="O75" s="4"/>
      <c r="P75" s="4"/>
      <c r="Q75" s="4"/>
      <c r="R75" s="4"/>
      <c r="S75" s="3">
        <f t="shared" si="3"/>
        <v>0</v>
      </c>
      <c r="T75" s="5"/>
    </row>
    <row r="76" spans="1:20" x14ac:dyDescent="0.25">
      <c r="A76" s="3" t="s">
        <v>251</v>
      </c>
      <c r="B76" s="3" t="s">
        <v>246</v>
      </c>
      <c r="C76" s="3">
        <v>3</v>
      </c>
      <c r="D76" s="3">
        <v>6</v>
      </c>
      <c r="E76" s="2" t="s">
        <v>364</v>
      </c>
      <c r="F76" s="3">
        <v>2</v>
      </c>
      <c r="G76" s="4" t="s">
        <v>515</v>
      </c>
      <c r="H76" s="4"/>
      <c r="I76" s="4"/>
      <c r="J76" s="4"/>
      <c r="K76" s="4"/>
      <c r="L76" s="3">
        <f t="shared" si="2"/>
        <v>2</v>
      </c>
      <c r="M76" s="4"/>
      <c r="N76" s="4"/>
      <c r="O76" s="4"/>
      <c r="P76" s="4"/>
      <c r="Q76" s="4"/>
      <c r="R76" s="4"/>
      <c r="S76" s="3">
        <f t="shared" si="3"/>
        <v>0</v>
      </c>
      <c r="T76" s="5"/>
    </row>
    <row r="77" spans="1:20" x14ac:dyDescent="0.25">
      <c r="A77" s="3" t="s">
        <v>251</v>
      </c>
      <c r="B77" s="3" t="s">
        <v>246</v>
      </c>
      <c r="C77" s="3">
        <v>3</v>
      </c>
      <c r="D77" s="3">
        <v>7</v>
      </c>
      <c r="E77" s="2" t="s">
        <v>355</v>
      </c>
      <c r="F77" s="3">
        <v>3</v>
      </c>
      <c r="G77" s="4" t="s">
        <v>515</v>
      </c>
      <c r="H77" s="4"/>
      <c r="I77" s="4"/>
      <c r="J77" s="4"/>
      <c r="K77" s="4"/>
      <c r="L77" s="3">
        <f t="shared" si="2"/>
        <v>3</v>
      </c>
      <c r="M77" s="4"/>
      <c r="N77" s="4"/>
      <c r="O77" s="4"/>
      <c r="P77" s="4"/>
      <c r="Q77" s="4"/>
      <c r="R77" s="4"/>
      <c r="S77" s="3">
        <f t="shared" si="3"/>
        <v>0</v>
      </c>
      <c r="T77" s="5"/>
    </row>
    <row r="78" spans="1:20" x14ac:dyDescent="0.25">
      <c r="A78" s="3" t="s">
        <v>251</v>
      </c>
      <c r="B78" s="3" t="s">
        <v>246</v>
      </c>
      <c r="C78" s="3">
        <v>3</v>
      </c>
      <c r="D78" s="3">
        <v>8</v>
      </c>
      <c r="E78" s="2" t="s">
        <v>375</v>
      </c>
      <c r="F78" s="3">
        <v>5</v>
      </c>
      <c r="G78" s="4" t="s">
        <v>515</v>
      </c>
      <c r="H78" s="4"/>
      <c r="I78" s="4"/>
      <c r="J78" s="4"/>
      <c r="K78" s="4"/>
      <c r="L78" s="3">
        <f t="shared" si="2"/>
        <v>5</v>
      </c>
      <c r="M78" s="4"/>
      <c r="N78" s="4"/>
      <c r="O78" s="4"/>
      <c r="P78" s="4"/>
      <c r="Q78" s="4"/>
      <c r="R78" s="4"/>
      <c r="S78" s="3">
        <f t="shared" si="3"/>
        <v>0</v>
      </c>
      <c r="T78" s="5"/>
    </row>
    <row r="79" spans="1:20" x14ac:dyDescent="0.25">
      <c r="A79" s="3" t="s">
        <v>251</v>
      </c>
      <c r="B79" s="3" t="s">
        <v>246</v>
      </c>
      <c r="C79" s="3">
        <v>3</v>
      </c>
      <c r="D79" s="3">
        <v>9</v>
      </c>
      <c r="E79" s="2" t="s">
        <v>376</v>
      </c>
      <c r="F79" s="3">
        <v>3</v>
      </c>
      <c r="G79" s="4" t="s">
        <v>515</v>
      </c>
      <c r="H79" s="4"/>
      <c r="I79" s="4"/>
      <c r="J79" s="4"/>
      <c r="K79" s="4"/>
      <c r="L79" s="3">
        <f t="shared" si="2"/>
        <v>3</v>
      </c>
      <c r="M79" s="4"/>
      <c r="N79" s="4"/>
      <c r="O79" s="4"/>
      <c r="P79" s="4"/>
      <c r="Q79" s="4"/>
      <c r="R79" s="4"/>
      <c r="S79" s="3">
        <f t="shared" si="3"/>
        <v>0</v>
      </c>
      <c r="T79" s="5"/>
    </row>
    <row r="80" spans="1:20" x14ac:dyDescent="0.25">
      <c r="A80" s="3" t="s">
        <v>251</v>
      </c>
      <c r="B80" s="3" t="s">
        <v>246</v>
      </c>
      <c r="C80" s="3">
        <v>3</v>
      </c>
      <c r="D80" s="3">
        <v>10</v>
      </c>
      <c r="E80" s="2" t="s">
        <v>367</v>
      </c>
      <c r="F80" s="3">
        <v>8</v>
      </c>
      <c r="G80" s="4" t="s">
        <v>515</v>
      </c>
      <c r="H80" s="4"/>
      <c r="I80" s="4"/>
      <c r="J80" s="4"/>
      <c r="K80" s="4"/>
      <c r="L80" s="3">
        <f t="shared" si="2"/>
        <v>8</v>
      </c>
      <c r="M80" s="4"/>
      <c r="N80" s="4"/>
      <c r="O80" s="4"/>
      <c r="P80" s="4"/>
      <c r="Q80" s="4"/>
      <c r="R80" s="4"/>
      <c r="S80" s="3">
        <f t="shared" si="3"/>
        <v>0</v>
      </c>
      <c r="T80" s="5"/>
    </row>
    <row r="81" spans="1:20" ht="28.5" x14ac:dyDescent="0.25">
      <c r="A81" s="3" t="s">
        <v>251</v>
      </c>
      <c r="B81" s="3" t="s">
        <v>246</v>
      </c>
      <c r="C81" s="3">
        <v>3</v>
      </c>
      <c r="D81" s="3">
        <v>11</v>
      </c>
      <c r="E81" s="2" t="s">
        <v>377</v>
      </c>
      <c r="F81" s="3">
        <v>6</v>
      </c>
      <c r="G81" s="4" t="s">
        <v>515</v>
      </c>
      <c r="H81" s="4"/>
      <c r="I81" s="4"/>
      <c r="J81" s="4"/>
      <c r="K81" s="4"/>
      <c r="L81" s="3">
        <f t="shared" si="2"/>
        <v>6</v>
      </c>
      <c r="M81" s="4"/>
      <c r="N81" s="4"/>
      <c r="O81" s="4"/>
      <c r="P81" s="4"/>
      <c r="Q81" s="4"/>
      <c r="R81" s="4"/>
      <c r="S81" s="3">
        <f t="shared" si="3"/>
        <v>0</v>
      </c>
      <c r="T81" s="5"/>
    </row>
    <row r="82" spans="1:20" ht="28.5" x14ac:dyDescent="0.25">
      <c r="A82" s="3" t="s">
        <v>251</v>
      </c>
      <c r="B82" s="3" t="s">
        <v>246</v>
      </c>
      <c r="C82" s="3">
        <v>3</v>
      </c>
      <c r="D82" s="3">
        <v>12</v>
      </c>
      <c r="E82" s="2" t="s">
        <v>378</v>
      </c>
      <c r="F82" s="3">
        <v>14</v>
      </c>
      <c r="G82" s="4" t="s">
        <v>515</v>
      </c>
      <c r="H82" s="4"/>
      <c r="I82" s="4"/>
      <c r="J82" s="4"/>
      <c r="K82" s="4"/>
      <c r="L82" s="3">
        <f t="shared" si="2"/>
        <v>14</v>
      </c>
      <c r="M82" s="4"/>
      <c r="N82" s="4"/>
      <c r="O82" s="4"/>
      <c r="P82" s="4"/>
      <c r="Q82" s="4"/>
      <c r="R82" s="4"/>
      <c r="S82" s="3">
        <f t="shared" si="3"/>
        <v>0</v>
      </c>
      <c r="T82" s="5"/>
    </row>
    <row r="83" spans="1:20" ht="28.5" x14ac:dyDescent="0.25">
      <c r="A83" s="3" t="s">
        <v>253</v>
      </c>
      <c r="B83" s="3" t="s">
        <v>246</v>
      </c>
      <c r="C83" s="3">
        <v>4</v>
      </c>
      <c r="D83" s="3">
        <v>1</v>
      </c>
      <c r="E83" s="2" t="s">
        <v>379</v>
      </c>
      <c r="F83" s="3">
        <v>2</v>
      </c>
      <c r="G83" s="4" t="s">
        <v>514</v>
      </c>
      <c r="H83" s="4">
        <v>1</v>
      </c>
      <c r="I83" s="4"/>
      <c r="J83" s="4"/>
      <c r="K83" s="4"/>
      <c r="L83" s="3">
        <f t="shared" si="2"/>
        <v>1</v>
      </c>
      <c r="M83" s="4"/>
      <c r="N83" s="4"/>
      <c r="O83" s="4"/>
      <c r="P83" s="4"/>
      <c r="Q83" s="4"/>
      <c r="R83" s="4"/>
      <c r="S83" s="3">
        <f t="shared" si="3"/>
        <v>0</v>
      </c>
      <c r="T83" s="5"/>
    </row>
    <row r="84" spans="1:20" ht="28.5" x14ac:dyDescent="0.25">
      <c r="A84" s="3" t="s">
        <v>253</v>
      </c>
      <c r="B84" s="3" t="s">
        <v>246</v>
      </c>
      <c r="C84" s="3">
        <v>4</v>
      </c>
      <c r="D84" s="3">
        <v>2</v>
      </c>
      <c r="E84" s="2" t="s">
        <v>380</v>
      </c>
      <c r="F84" s="3">
        <v>3</v>
      </c>
      <c r="G84" s="4" t="s">
        <v>514</v>
      </c>
      <c r="H84" s="4"/>
      <c r="I84" s="4">
        <v>1</v>
      </c>
      <c r="J84" s="4"/>
      <c r="K84" s="4"/>
      <c r="L84" s="3">
        <f t="shared" si="2"/>
        <v>2</v>
      </c>
      <c r="M84" s="4"/>
      <c r="N84" s="4"/>
      <c r="O84" s="4"/>
      <c r="P84" s="4"/>
      <c r="Q84" s="4"/>
      <c r="R84" s="4"/>
      <c r="S84" s="3">
        <f t="shared" si="3"/>
        <v>0</v>
      </c>
      <c r="T84" s="5"/>
    </row>
    <row r="85" spans="1:20" x14ac:dyDescent="0.25">
      <c r="A85" s="3" t="s">
        <v>253</v>
      </c>
      <c r="B85" s="3" t="s">
        <v>246</v>
      </c>
      <c r="C85" s="3">
        <v>4</v>
      </c>
      <c r="D85" s="3">
        <v>3</v>
      </c>
      <c r="E85" s="2" t="s">
        <v>372</v>
      </c>
      <c r="F85" s="3">
        <v>4</v>
      </c>
      <c r="G85" s="4" t="s">
        <v>515</v>
      </c>
      <c r="H85" s="4"/>
      <c r="I85" s="4"/>
      <c r="J85" s="4"/>
      <c r="K85" s="4"/>
      <c r="L85" s="3">
        <f t="shared" si="2"/>
        <v>4</v>
      </c>
      <c r="M85" s="4"/>
      <c r="N85" s="4"/>
      <c r="O85" s="4"/>
      <c r="P85" s="4"/>
      <c r="Q85" s="4"/>
      <c r="R85" s="4"/>
      <c r="S85" s="3">
        <f t="shared" si="3"/>
        <v>0</v>
      </c>
      <c r="T85" s="5"/>
    </row>
    <row r="86" spans="1:20" ht="28.5" x14ac:dyDescent="0.25">
      <c r="A86" s="3" t="s">
        <v>253</v>
      </c>
      <c r="B86" s="3" t="s">
        <v>246</v>
      </c>
      <c r="C86" s="3">
        <v>4</v>
      </c>
      <c r="D86" s="3">
        <v>4</v>
      </c>
      <c r="E86" s="2" t="s">
        <v>381</v>
      </c>
      <c r="F86" s="3">
        <v>4</v>
      </c>
      <c r="G86" s="4" t="s">
        <v>514</v>
      </c>
      <c r="H86" s="4">
        <v>1</v>
      </c>
      <c r="I86" s="4"/>
      <c r="J86" s="4"/>
      <c r="K86" s="4"/>
      <c r="L86" s="3">
        <f t="shared" si="2"/>
        <v>3</v>
      </c>
      <c r="M86" s="4"/>
      <c r="N86" s="4"/>
      <c r="O86" s="4"/>
      <c r="P86" s="4"/>
      <c r="Q86" s="4"/>
      <c r="R86" s="4"/>
      <c r="S86" s="3">
        <f t="shared" si="3"/>
        <v>0</v>
      </c>
      <c r="T86" s="5"/>
    </row>
    <row r="87" spans="1:20" x14ac:dyDescent="0.25">
      <c r="A87" s="3" t="s">
        <v>253</v>
      </c>
      <c r="B87" s="3" t="s">
        <v>246</v>
      </c>
      <c r="C87" s="3">
        <v>4</v>
      </c>
      <c r="D87" s="3">
        <v>5</v>
      </c>
      <c r="E87" s="2" t="s">
        <v>382</v>
      </c>
      <c r="F87" s="3">
        <v>4</v>
      </c>
      <c r="G87" s="4" t="s">
        <v>515</v>
      </c>
      <c r="H87" s="4"/>
      <c r="I87" s="4"/>
      <c r="J87" s="4"/>
      <c r="K87" s="4"/>
      <c r="L87" s="3">
        <f t="shared" si="2"/>
        <v>4</v>
      </c>
      <c r="M87" s="4"/>
      <c r="N87" s="4"/>
      <c r="O87" s="4"/>
      <c r="P87" s="4"/>
      <c r="Q87" s="4"/>
      <c r="R87" s="4"/>
      <c r="S87" s="3">
        <f t="shared" si="3"/>
        <v>0</v>
      </c>
      <c r="T87" s="5"/>
    </row>
    <row r="88" spans="1:20" ht="28.5" x14ac:dyDescent="0.25">
      <c r="A88" s="3" t="s">
        <v>253</v>
      </c>
      <c r="B88" s="3" t="s">
        <v>246</v>
      </c>
      <c r="C88" s="3">
        <v>4</v>
      </c>
      <c r="D88" s="3">
        <v>6</v>
      </c>
      <c r="E88" s="2" t="s">
        <v>383</v>
      </c>
      <c r="F88" s="3">
        <v>4</v>
      </c>
      <c r="G88" s="4" t="s">
        <v>514</v>
      </c>
      <c r="H88" s="4"/>
      <c r="I88" s="4">
        <v>1</v>
      </c>
      <c r="J88" s="4"/>
      <c r="K88" s="4"/>
      <c r="L88" s="3">
        <f t="shared" si="2"/>
        <v>3</v>
      </c>
      <c r="M88" s="4"/>
      <c r="N88" s="4"/>
      <c r="O88" s="4"/>
      <c r="P88" s="4"/>
      <c r="Q88" s="4"/>
      <c r="R88" s="4"/>
      <c r="S88" s="3">
        <f t="shared" si="3"/>
        <v>0</v>
      </c>
      <c r="T88" s="5"/>
    </row>
    <row r="89" spans="1:20" ht="28.5" x14ac:dyDescent="0.25">
      <c r="A89" s="3" t="s">
        <v>253</v>
      </c>
      <c r="B89" s="3" t="s">
        <v>246</v>
      </c>
      <c r="C89" s="3">
        <v>4</v>
      </c>
      <c r="D89" s="3">
        <v>7</v>
      </c>
      <c r="E89" s="2" t="s">
        <v>384</v>
      </c>
      <c r="F89" s="3">
        <v>2</v>
      </c>
      <c r="G89" s="4" t="s">
        <v>514</v>
      </c>
      <c r="H89" s="4"/>
      <c r="I89" s="4">
        <v>1</v>
      </c>
      <c r="J89" s="4"/>
      <c r="K89" s="4"/>
      <c r="L89" s="3">
        <f t="shared" si="2"/>
        <v>1</v>
      </c>
      <c r="M89" s="4"/>
      <c r="N89" s="4"/>
      <c r="O89" s="4"/>
      <c r="P89" s="4"/>
      <c r="Q89" s="4"/>
      <c r="R89" s="4"/>
      <c r="S89" s="3">
        <f t="shared" si="3"/>
        <v>0</v>
      </c>
      <c r="T89" s="5"/>
    </row>
    <row r="90" spans="1:20" x14ac:dyDescent="0.25">
      <c r="A90" s="3" t="s">
        <v>253</v>
      </c>
      <c r="B90" s="3" t="s">
        <v>246</v>
      </c>
      <c r="C90" s="3">
        <v>4</v>
      </c>
      <c r="D90" s="3">
        <v>8</v>
      </c>
      <c r="E90" s="2" t="s">
        <v>355</v>
      </c>
      <c r="F90" s="3">
        <v>3</v>
      </c>
      <c r="G90" s="4" t="s">
        <v>515</v>
      </c>
      <c r="H90" s="4"/>
      <c r="I90" s="4"/>
      <c r="J90" s="4"/>
      <c r="K90" s="4"/>
      <c r="L90" s="3">
        <f t="shared" si="2"/>
        <v>3</v>
      </c>
      <c r="M90" s="4"/>
      <c r="N90" s="4"/>
      <c r="O90" s="4"/>
      <c r="P90" s="4"/>
      <c r="Q90" s="4"/>
      <c r="R90" s="4"/>
      <c r="S90" s="3">
        <f t="shared" si="3"/>
        <v>0</v>
      </c>
      <c r="T90" s="5"/>
    </row>
    <row r="91" spans="1:20" x14ac:dyDescent="0.25">
      <c r="A91" s="3" t="s">
        <v>253</v>
      </c>
      <c r="B91" s="3" t="s">
        <v>246</v>
      </c>
      <c r="C91" s="3">
        <v>4</v>
      </c>
      <c r="D91" s="3">
        <v>9</v>
      </c>
      <c r="E91" s="2" t="s">
        <v>385</v>
      </c>
      <c r="F91" s="3">
        <v>3</v>
      </c>
      <c r="G91" s="4" t="s">
        <v>515</v>
      </c>
      <c r="H91" s="4"/>
      <c r="I91" s="4"/>
      <c r="J91" s="4"/>
      <c r="K91" s="4"/>
      <c r="L91" s="3">
        <f t="shared" si="2"/>
        <v>3</v>
      </c>
      <c r="M91" s="4"/>
      <c r="N91" s="4"/>
      <c r="O91" s="4"/>
      <c r="P91" s="4"/>
      <c r="Q91" s="4"/>
      <c r="R91" s="4"/>
      <c r="S91" s="3">
        <f t="shared" si="3"/>
        <v>0</v>
      </c>
      <c r="T91" s="5"/>
    </row>
    <row r="92" spans="1:20" ht="28.5" x14ac:dyDescent="0.25">
      <c r="A92" s="3" t="s">
        <v>253</v>
      </c>
      <c r="B92" s="3" t="s">
        <v>246</v>
      </c>
      <c r="C92" s="3">
        <v>4</v>
      </c>
      <c r="D92" s="3">
        <v>10</v>
      </c>
      <c r="E92" s="2" t="s">
        <v>386</v>
      </c>
      <c r="F92" s="3">
        <v>4</v>
      </c>
      <c r="G92" s="4" t="s">
        <v>514</v>
      </c>
      <c r="H92" s="4">
        <v>1</v>
      </c>
      <c r="I92" s="4"/>
      <c r="J92" s="4"/>
      <c r="K92" s="4"/>
      <c r="L92" s="3">
        <f t="shared" si="2"/>
        <v>3</v>
      </c>
      <c r="M92" s="4"/>
      <c r="N92" s="4"/>
      <c r="O92" s="4"/>
      <c r="P92" s="4"/>
      <c r="Q92" s="4"/>
      <c r="R92" s="4"/>
      <c r="S92" s="3">
        <f t="shared" si="3"/>
        <v>0</v>
      </c>
      <c r="T92" s="5"/>
    </row>
    <row r="93" spans="1:20" x14ac:dyDescent="0.25">
      <c r="A93" s="3" t="s">
        <v>253</v>
      </c>
      <c r="B93" s="3" t="s">
        <v>246</v>
      </c>
      <c r="C93" s="3">
        <v>4</v>
      </c>
      <c r="D93" s="3">
        <v>11</v>
      </c>
      <c r="E93" s="2" t="s">
        <v>387</v>
      </c>
      <c r="F93" s="3">
        <v>9</v>
      </c>
      <c r="G93" s="4" t="s">
        <v>515</v>
      </c>
      <c r="H93" s="4"/>
      <c r="I93" s="4"/>
      <c r="J93" s="4"/>
      <c r="K93" s="4"/>
      <c r="L93" s="3">
        <f t="shared" si="2"/>
        <v>9</v>
      </c>
      <c r="M93" s="4"/>
      <c r="N93" s="4"/>
      <c r="O93" s="4"/>
      <c r="P93" s="4"/>
      <c r="Q93" s="4"/>
      <c r="R93" s="4"/>
      <c r="S93" s="3">
        <f t="shared" si="3"/>
        <v>0</v>
      </c>
      <c r="T93" s="5"/>
    </row>
    <row r="94" spans="1:20" ht="28.5" x14ac:dyDescent="0.25">
      <c r="A94" s="3" t="s">
        <v>253</v>
      </c>
      <c r="B94" s="3" t="s">
        <v>246</v>
      </c>
      <c r="C94" s="3">
        <v>4</v>
      </c>
      <c r="D94" s="3">
        <v>12</v>
      </c>
      <c r="E94" s="2" t="s">
        <v>388</v>
      </c>
      <c r="F94" s="3">
        <v>7</v>
      </c>
      <c r="G94" s="4" t="s">
        <v>514</v>
      </c>
      <c r="H94" s="4">
        <v>2</v>
      </c>
      <c r="I94" s="4">
        <v>2</v>
      </c>
      <c r="J94" s="4"/>
      <c r="K94" s="4"/>
      <c r="L94" s="3">
        <f t="shared" si="2"/>
        <v>3</v>
      </c>
      <c r="M94" s="4"/>
      <c r="N94" s="4"/>
      <c r="O94" s="4"/>
      <c r="P94" s="4"/>
      <c r="Q94" s="4"/>
      <c r="R94" s="4"/>
      <c r="S94" s="3">
        <f t="shared" si="3"/>
        <v>0</v>
      </c>
      <c r="T94" s="5"/>
    </row>
    <row r="95" spans="1:20" ht="28.5" x14ac:dyDescent="0.25">
      <c r="A95" s="3" t="s">
        <v>253</v>
      </c>
      <c r="B95" s="3" t="s">
        <v>246</v>
      </c>
      <c r="C95" s="3">
        <v>4</v>
      </c>
      <c r="D95" s="3">
        <v>13</v>
      </c>
      <c r="E95" s="2" t="s">
        <v>389</v>
      </c>
      <c r="F95" s="3">
        <v>17</v>
      </c>
      <c r="G95" s="4" t="s">
        <v>515</v>
      </c>
      <c r="H95" s="4"/>
      <c r="I95" s="4"/>
      <c r="J95" s="4"/>
      <c r="K95" s="4"/>
      <c r="L95" s="3">
        <f t="shared" si="2"/>
        <v>17</v>
      </c>
      <c r="M95" s="4"/>
      <c r="N95" s="4"/>
      <c r="O95" s="4"/>
      <c r="P95" s="4"/>
      <c r="Q95" s="4"/>
      <c r="R95" s="4"/>
      <c r="S95" s="3">
        <f t="shared" si="3"/>
        <v>0</v>
      </c>
      <c r="T95" s="5"/>
    </row>
    <row r="96" spans="1:20" x14ac:dyDescent="0.25">
      <c r="A96" s="3" t="s">
        <v>255</v>
      </c>
      <c r="B96" s="3" t="s">
        <v>246</v>
      </c>
      <c r="C96" s="3">
        <v>5</v>
      </c>
      <c r="D96" s="3">
        <v>1</v>
      </c>
      <c r="E96" s="2" t="s">
        <v>350</v>
      </c>
      <c r="F96" s="3">
        <v>4</v>
      </c>
      <c r="G96" s="4" t="s">
        <v>515</v>
      </c>
      <c r="H96" s="4"/>
      <c r="I96" s="4"/>
      <c r="J96" s="4"/>
      <c r="K96" s="4"/>
      <c r="L96" s="3">
        <f t="shared" si="2"/>
        <v>4</v>
      </c>
      <c r="M96" s="4"/>
      <c r="N96" s="4"/>
      <c r="O96" s="4"/>
      <c r="P96" s="4"/>
      <c r="Q96" s="4"/>
      <c r="R96" s="4"/>
      <c r="S96" s="3">
        <f t="shared" si="3"/>
        <v>0</v>
      </c>
      <c r="T96" s="5"/>
    </row>
    <row r="97" spans="1:20" ht="28.5" x14ac:dyDescent="0.25">
      <c r="A97" s="3" t="s">
        <v>255</v>
      </c>
      <c r="B97" s="3" t="s">
        <v>246</v>
      </c>
      <c r="C97" s="3">
        <v>5</v>
      </c>
      <c r="D97" s="3">
        <v>2</v>
      </c>
      <c r="E97" s="2" t="s">
        <v>390</v>
      </c>
      <c r="F97" s="3">
        <v>4</v>
      </c>
      <c r="G97" s="4" t="s">
        <v>514</v>
      </c>
      <c r="H97" s="4"/>
      <c r="I97" s="4">
        <v>2</v>
      </c>
      <c r="J97" s="4"/>
      <c r="K97" s="4"/>
      <c r="L97" s="3">
        <f t="shared" si="2"/>
        <v>2</v>
      </c>
      <c r="M97" s="4"/>
      <c r="N97" s="4"/>
      <c r="O97" s="4"/>
      <c r="P97" s="4"/>
      <c r="Q97" s="4"/>
      <c r="R97" s="4"/>
      <c r="S97" s="3">
        <f t="shared" si="3"/>
        <v>0</v>
      </c>
      <c r="T97" s="5"/>
    </row>
    <row r="98" spans="1:20" x14ac:dyDescent="0.25">
      <c r="A98" s="3" t="s">
        <v>255</v>
      </c>
      <c r="B98" s="3" t="s">
        <v>246</v>
      </c>
      <c r="C98" s="3">
        <v>5</v>
      </c>
      <c r="D98" s="3">
        <v>3</v>
      </c>
      <c r="E98" s="2" t="s">
        <v>391</v>
      </c>
      <c r="F98" s="3">
        <v>5</v>
      </c>
      <c r="G98" s="4" t="s">
        <v>515</v>
      </c>
      <c r="H98" s="4"/>
      <c r="I98" s="4"/>
      <c r="J98" s="4"/>
      <c r="K98" s="4"/>
      <c r="L98" s="3">
        <f t="shared" si="2"/>
        <v>5</v>
      </c>
      <c r="M98" s="4"/>
      <c r="N98" s="4"/>
      <c r="O98" s="4"/>
      <c r="P98" s="4"/>
      <c r="Q98" s="4"/>
      <c r="R98" s="4"/>
      <c r="S98" s="3">
        <f t="shared" si="3"/>
        <v>0</v>
      </c>
      <c r="T98" s="5"/>
    </row>
    <row r="99" spans="1:20" x14ac:dyDescent="0.25">
      <c r="A99" s="3" t="s">
        <v>255</v>
      </c>
      <c r="B99" s="3" t="s">
        <v>246</v>
      </c>
      <c r="C99" s="3">
        <v>5</v>
      </c>
      <c r="D99" s="3">
        <v>4</v>
      </c>
      <c r="E99" s="2" t="s">
        <v>353</v>
      </c>
      <c r="F99" s="3">
        <v>4</v>
      </c>
      <c r="G99" s="4" t="s">
        <v>515</v>
      </c>
      <c r="H99" s="4"/>
      <c r="I99" s="4"/>
      <c r="J99" s="4"/>
      <c r="K99" s="4"/>
      <c r="L99" s="3">
        <f t="shared" si="2"/>
        <v>4</v>
      </c>
      <c r="M99" s="4"/>
      <c r="N99" s="4"/>
      <c r="O99" s="4"/>
      <c r="P99" s="4"/>
      <c r="Q99" s="4"/>
      <c r="R99" s="4"/>
      <c r="S99" s="3">
        <f t="shared" si="3"/>
        <v>0</v>
      </c>
      <c r="T99" s="5"/>
    </row>
    <row r="100" spans="1:20" x14ac:dyDescent="0.25">
      <c r="A100" s="3" t="s">
        <v>255</v>
      </c>
      <c r="B100" s="3" t="s">
        <v>246</v>
      </c>
      <c r="C100" s="3">
        <v>5</v>
      </c>
      <c r="D100" s="3">
        <v>5</v>
      </c>
      <c r="E100" s="2" t="s">
        <v>392</v>
      </c>
      <c r="F100" s="3">
        <v>3</v>
      </c>
      <c r="G100" s="4" t="s">
        <v>515</v>
      </c>
      <c r="H100" s="4"/>
      <c r="I100" s="4"/>
      <c r="J100" s="4"/>
      <c r="K100" s="4"/>
      <c r="L100" s="3">
        <f t="shared" si="2"/>
        <v>3</v>
      </c>
      <c r="M100" s="4"/>
      <c r="N100" s="4"/>
      <c r="O100" s="4"/>
      <c r="P100" s="4"/>
      <c r="Q100" s="4"/>
      <c r="R100" s="4"/>
      <c r="S100" s="3">
        <f t="shared" si="3"/>
        <v>0</v>
      </c>
      <c r="T100" s="5"/>
    </row>
    <row r="101" spans="1:20" x14ac:dyDescent="0.25">
      <c r="A101" s="3" t="s">
        <v>255</v>
      </c>
      <c r="B101" s="3" t="s">
        <v>246</v>
      </c>
      <c r="C101" s="3">
        <v>5</v>
      </c>
      <c r="D101" s="3">
        <v>6</v>
      </c>
      <c r="E101" s="2" t="s">
        <v>355</v>
      </c>
      <c r="F101" s="3">
        <v>3</v>
      </c>
      <c r="G101" s="4" t="s">
        <v>515</v>
      </c>
      <c r="H101" s="4"/>
      <c r="I101" s="4"/>
      <c r="J101" s="4"/>
      <c r="K101" s="4"/>
      <c r="L101" s="3">
        <f t="shared" si="2"/>
        <v>3</v>
      </c>
      <c r="M101" s="4"/>
      <c r="N101" s="4"/>
      <c r="O101" s="4"/>
      <c r="P101" s="4"/>
      <c r="Q101" s="4"/>
      <c r="R101" s="4"/>
      <c r="S101" s="3">
        <f t="shared" si="3"/>
        <v>0</v>
      </c>
      <c r="T101" s="5"/>
    </row>
    <row r="102" spans="1:20" ht="28.5" x14ac:dyDescent="0.25">
      <c r="A102" s="3" t="s">
        <v>255</v>
      </c>
      <c r="B102" s="3" t="s">
        <v>246</v>
      </c>
      <c r="C102" s="3">
        <v>5</v>
      </c>
      <c r="D102" s="3">
        <v>7</v>
      </c>
      <c r="E102" s="2" t="s">
        <v>393</v>
      </c>
      <c r="F102" s="3">
        <v>3</v>
      </c>
      <c r="G102" s="4" t="s">
        <v>514</v>
      </c>
      <c r="H102" s="4"/>
      <c r="I102" s="4">
        <v>1</v>
      </c>
      <c r="J102" s="4"/>
      <c r="K102" s="4"/>
      <c r="L102" s="3">
        <f t="shared" si="2"/>
        <v>2</v>
      </c>
      <c r="M102" s="4"/>
      <c r="N102" s="4"/>
      <c r="O102" s="4"/>
      <c r="P102" s="4"/>
      <c r="Q102" s="4"/>
      <c r="R102" s="4"/>
      <c r="S102" s="3">
        <f t="shared" si="3"/>
        <v>0</v>
      </c>
      <c r="T102" s="5"/>
    </row>
    <row r="103" spans="1:20" x14ac:dyDescent="0.25">
      <c r="A103" s="3" t="s">
        <v>255</v>
      </c>
      <c r="B103" s="3" t="s">
        <v>246</v>
      </c>
      <c r="C103" s="3">
        <v>5</v>
      </c>
      <c r="D103" s="3">
        <v>8</v>
      </c>
      <c r="E103" s="2" t="s">
        <v>366</v>
      </c>
      <c r="F103" s="3">
        <v>4</v>
      </c>
      <c r="G103" s="4" t="s">
        <v>515</v>
      </c>
      <c r="H103" s="4"/>
      <c r="I103" s="4"/>
      <c r="J103" s="4"/>
      <c r="K103" s="4"/>
      <c r="L103" s="3">
        <f t="shared" si="2"/>
        <v>4</v>
      </c>
      <c r="M103" s="4"/>
      <c r="N103" s="4"/>
      <c r="O103" s="4"/>
      <c r="P103" s="4"/>
      <c r="Q103" s="4"/>
      <c r="R103" s="4"/>
      <c r="S103" s="3">
        <f t="shared" si="3"/>
        <v>0</v>
      </c>
      <c r="T103" s="5"/>
    </row>
    <row r="104" spans="1:20" ht="28.5" x14ac:dyDescent="0.25">
      <c r="A104" s="3" t="s">
        <v>255</v>
      </c>
      <c r="B104" s="3" t="s">
        <v>246</v>
      </c>
      <c r="C104" s="3">
        <v>5</v>
      </c>
      <c r="D104" s="3">
        <v>9</v>
      </c>
      <c r="E104" s="2" t="s">
        <v>394</v>
      </c>
      <c r="F104" s="3">
        <v>7</v>
      </c>
      <c r="G104" s="4" t="s">
        <v>514</v>
      </c>
      <c r="H104" s="4"/>
      <c r="I104" s="4">
        <v>1</v>
      </c>
      <c r="J104" s="4"/>
      <c r="K104" s="4"/>
      <c r="L104" s="3">
        <f t="shared" si="2"/>
        <v>6</v>
      </c>
      <c r="M104" s="4"/>
      <c r="N104" s="4"/>
      <c r="O104" s="4"/>
      <c r="P104" s="4"/>
      <c r="Q104" s="4"/>
      <c r="R104" s="4"/>
      <c r="S104" s="3">
        <f t="shared" si="3"/>
        <v>0</v>
      </c>
      <c r="T104" s="5"/>
    </row>
    <row r="105" spans="1:20" ht="28.5" x14ac:dyDescent="0.25">
      <c r="A105" s="3" t="s">
        <v>255</v>
      </c>
      <c r="B105" s="3" t="s">
        <v>246</v>
      </c>
      <c r="C105" s="3">
        <v>5</v>
      </c>
      <c r="D105" s="3">
        <v>10</v>
      </c>
      <c r="E105" s="2" t="s">
        <v>395</v>
      </c>
      <c r="F105" s="3">
        <v>7</v>
      </c>
      <c r="G105" s="4" t="s">
        <v>514</v>
      </c>
      <c r="H105" s="4">
        <v>2</v>
      </c>
      <c r="I105" s="4">
        <v>1</v>
      </c>
      <c r="J105" s="4"/>
      <c r="K105" s="4"/>
      <c r="L105" s="3">
        <f t="shared" si="2"/>
        <v>4</v>
      </c>
      <c r="M105" s="4"/>
      <c r="N105" s="4"/>
      <c r="O105" s="4"/>
      <c r="P105" s="4"/>
      <c r="Q105" s="4"/>
      <c r="R105" s="4"/>
      <c r="S105" s="3">
        <f t="shared" si="3"/>
        <v>0</v>
      </c>
      <c r="T105" s="5"/>
    </row>
    <row r="106" spans="1:20" ht="28.5" x14ac:dyDescent="0.25">
      <c r="A106" s="3" t="s">
        <v>255</v>
      </c>
      <c r="B106" s="3" t="s">
        <v>246</v>
      </c>
      <c r="C106" s="3">
        <v>5</v>
      </c>
      <c r="D106" s="3">
        <v>11</v>
      </c>
      <c r="E106" s="2" t="s">
        <v>396</v>
      </c>
      <c r="F106" s="3">
        <v>15</v>
      </c>
      <c r="G106" s="4" t="s">
        <v>514</v>
      </c>
      <c r="H106" s="4"/>
      <c r="I106" s="4">
        <v>2</v>
      </c>
      <c r="J106" s="4"/>
      <c r="K106" s="4"/>
      <c r="L106" s="3">
        <f t="shared" si="2"/>
        <v>13</v>
      </c>
      <c r="M106" s="4"/>
      <c r="N106" s="4"/>
      <c r="O106" s="4"/>
      <c r="P106" s="4"/>
      <c r="Q106" s="4"/>
      <c r="R106" s="4"/>
      <c r="S106" s="3">
        <f t="shared" si="3"/>
        <v>0</v>
      </c>
      <c r="T106" s="5"/>
    </row>
    <row r="107" spans="1:20" ht="28.5" x14ac:dyDescent="0.25">
      <c r="A107" s="3" t="s">
        <v>255</v>
      </c>
      <c r="B107" s="3" t="s">
        <v>246</v>
      </c>
      <c r="C107" s="3">
        <v>5</v>
      </c>
      <c r="D107" s="3">
        <v>12</v>
      </c>
      <c r="E107" s="2" t="s">
        <v>397</v>
      </c>
      <c r="F107" s="3">
        <v>2</v>
      </c>
      <c r="G107" s="4" t="s">
        <v>514</v>
      </c>
      <c r="H107" s="4">
        <v>2</v>
      </c>
      <c r="I107" s="4"/>
      <c r="J107" s="4"/>
      <c r="K107" s="4"/>
      <c r="L107" s="3">
        <f t="shared" si="2"/>
        <v>0</v>
      </c>
      <c r="M107" s="4"/>
      <c r="N107" s="4"/>
      <c r="O107" s="4"/>
      <c r="P107" s="4"/>
      <c r="Q107" s="4"/>
      <c r="R107" s="4"/>
      <c r="S107" s="3">
        <f t="shared" si="3"/>
        <v>0</v>
      </c>
      <c r="T107" s="5"/>
    </row>
    <row r="108" spans="1:20" x14ac:dyDescent="0.25">
      <c r="A108" s="3" t="s">
        <v>257</v>
      </c>
      <c r="B108" s="3" t="s">
        <v>258</v>
      </c>
      <c r="C108" s="3">
        <v>1</v>
      </c>
      <c r="D108" s="3">
        <v>1</v>
      </c>
      <c r="E108" s="2" t="s">
        <v>398</v>
      </c>
      <c r="F108" s="3">
        <v>3</v>
      </c>
      <c r="G108" s="4" t="s">
        <v>515</v>
      </c>
      <c r="H108" s="4"/>
      <c r="I108" s="4"/>
      <c r="J108" s="4"/>
      <c r="K108" s="4"/>
      <c r="L108" s="3">
        <f t="shared" si="2"/>
        <v>3</v>
      </c>
      <c r="M108" s="4"/>
      <c r="N108" s="4"/>
      <c r="O108" s="4"/>
      <c r="P108" s="4"/>
      <c r="Q108" s="4"/>
      <c r="R108" s="4"/>
      <c r="S108" s="3">
        <f t="shared" si="3"/>
        <v>0</v>
      </c>
      <c r="T108" s="5"/>
    </row>
    <row r="109" spans="1:20" x14ac:dyDescent="0.25">
      <c r="A109" s="3" t="s">
        <v>257</v>
      </c>
      <c r="B109" s="3" t="s">
        <v>258</v>
      </c>
      <c r="C109" s="3">
        <v>1</v>
      </c>
      <c r="D109" s="3">
        <v>2</v>
      </c>
      <c r="E109" s="2" t="s">
        <v>399</v>
      </c>
      <c r="F109" s="3">
        <v>4</v>
      </c>
      <c r="G109" s="4" t="s">
        <v>515</v>
      </c>
      <c r="H109" s="4"/>
      <c r="I109" s="4"/>
      <c r="J109" s="4"/>
      <c r="K109" s="4"/>
      <c r="L109" s="3">
        <f t="shared" si="2"/>
        <v>4</v>
      </c>
      <c r="M109" s="4"/>
      <c r="N109" s="4"/>
      <c r="O109" s="4"/>
      <c r="P109" s="4"/>
      <c r="Q109" s="4"/>
      <c r="R109" s="4"/>
      <c r="S109" s="3">
        <f t="shared" si="3"/>
        <v>0</v>
      </c>
      <c r="T109" s="5"/>
    </row>
    <row r="110" spans="1:20" x14ac:dyDescent="0.25">
      <c r="A110" s="3" t="s">
        <v>257</v>
      </c>
      <c r="B110" s="3" t="s">
        <v>258</v>
      </c>
      <c r="C110" s="3">
        <v>1</v>
      </c>
      <c r="D110" s="3">
        <v>3</v>
      </c>
      <c r="E110" s="2" t="s">
        <v>400</v>
      </c>
      <c r="F110" s="3">
        <v>3</v>
      </c>
      <c r="G110" s="4" t="s">
        <v>515</v>
      </c>
      <c r="H110" s="4"/>
      <c r="I110" s="4"/>
      <c r="J110" s="4"/>
      <c r="K110" s="4"/>
      <c r="L110" s="3">
        <f t="shared" si="2"/>
        <v>3</v>
      </c>
      <c r="M110" s="4"/>
      <c r="N110" s="4"/>
      <c r="O110" s="4"/>
      <c r="P110" s="4"/>
      <c r="Q110" s="4"/>
      <c r="R110" s="4"/>
      <c r="S110" s="3">
        <f t="shared" si="3"/>
        <v>0</v>
      </c>
      <c r="T110" s="5"/>
    </row>
    <row r="111" spans="1:20" x14ac:dyDescent="0.25">
      <c r="A111" s="3" t="s">
        <v>257</v>
      </c>
      <c r="B111" s="3" t="s">
        <v>258</v>
      </c>
      <c r="C111" s="3">
        <v>1</v>
      </c>
      <c r="D111" s="3">
        <v>4</v>
      </c>
      <c r="E111" s="2" t="s">
        <v>401</v>
      </c>
      <c r="F111" s="3">
        <v>4</v>
      </c>
      <c r="G111" s="4" t="s">
        <v>515</v>
      </c>
      <c r="H111" s="4"/>
      <c r="I111" s="4"/>
      <c r="J111" s="4"/>
      <c r="K111" s="4"/>
      <c r="L111" s="3">
        <f t="shared" si="2"/>
        <v>4</v>
      </c>
      <c r="M111" s="4"/>
      <c r="N111" s="4"/>
      <c r="O111" s="4"/>
      <c r="P111" s="4"/>
      <c r="Q111" s="4"/>
      <c r="R111" s="4"/>
      <c r="S111" s="3">
        <f t="shared" si="3"/>
        <v>0</v>
      </c>
      <c r="T111" s="5"/>
    </row>
    <row r="112" spans="1:20" x14ac:dyDescent="0.25">
      <c r="A112" s="3" t="s">
        <v>257</v>
      </c>
      <c r="B112" s="3" t="s">
        <v>258</v>
      </c>
      <c r="C112" s="3">
        <v>1</v>
      </c>
      <c r="D112" s="3">
        <v>5</v>
      </c>
      <c r="E112" s="2" t="s">
        <v>402</v>
      </c>
      <c r="F112" s="3">
        <v>2</v>
      </c>
      <c r="G112" s="4" t="s">
        <v>515</v>
      </c>
      <c r="H112" s="4"/>
      <c r="I112" s="4"/>
      <c r="J112" s="4"/>
      <c r="K112" s="4"/>
      <c r="L112" s="3">
        <f t="shared" si="2"/>
        <v>2</v>
      </c>
      <c r="M112" s="4"/>
      <c r="N112" s="4"/>
      <c r="O112" s="4"/>
      <c r="P112" s="4"/>
      <c r="Q112" s="4"/>
      <c r="R112" s="4"/>
      <c r="S112" s="3">
        <f t="shared" si="3"/>
        <v>0</v>
      </c>
      <c r="T112" s="5"/>
    </row>
    <row r="113" spans="1:20" x14ac:dyDescent="0.25">
      <c r="A113" s="3" t="s">
        <v>257</v>
      </c>
      <c r="B113" s="3" t="s">
        <v>258</v>
      </c>
      <c r="C113" s="3">
        <v>1</v>
      </c>
      <c r="D113" s="3">
        <v>6</v>
      </c>
      <c r="E113" s="2" t="s">
        <v>403</v>
      </c>
      <c r="F113" s="3">
        <v>3</v>
      </c>
      <c r="G113" s="4" t="s">
        <v>515</v>
      </c>
      <c r="H113" s="4"/>
      <c r="I113" s="4"/>
      <c r="J113" s="4"/>
      <c r="K113" s="4"/>
      <c r="L113" s="3">
        <f t="shared" si="2"/>
        <v>3</v>
      </c>
      <c r="M113" s="4"/>
      <c r="N113" s="4"/>
      <c r="O113" s="4"/>
      <c r="P113" s="4"/>
      <c r="Q113" s="4"/>
      <c r="R113" s="4"/>
      <c r="S113" s="3">
        <f t="shared" si="3"/>
        <v>0</v>
      </c>
      <c r="T113" s="5"/>
    </row>
    <row r="114" spans="1:20" x14ac:dyDescent="0.25">
      <c r="A114" s="3" t="s">
        <v>257</v>
      </c>
      <c r="B114" s="3" t="s">
        <v>258</v>
      </c>
      <c r="C114" s="3">
        <v>1</v>
      </c>
      <c r="D114" s="3">
        <v>7</v>
      </c>
      <c r="E114" s="2" t="s">
        <v>404</v>
      </c>
      <c r="F114" s="3">
        <v>3</v>
      </c>
      <c r="G114" s="4" t="s">
        <v>515</v>
      </c>
      <c r="H114" s="4"/>
      <c r="I114" s="4"/>
      <c r="J114" s="4"/>
      <c r="K114" s="4"/>
      <c r="L114" s="3">
        <f t="shared" si="2"/>
        <v>3</v>
      </c>
      <c r="M114" s="4"/>
      <c r="N114" s="4"/>
      <c r="O114" s="4"/>
      <c r="P114" s="4"/>
      <c r="Q114" s="4"/>
      <c r="R114" s="4"/>
      <c r="S114" s="3">
        <f t="shared" si="3"/>
        <v>0</v>
      </c>
      <c r="T114" s="5"/>
    </row>
    <row r="115" spans="1:20" x14ac:dyDescent="0.25">
      <c r="A115" s="3" t="s">
        <v>257</v>
      </c>
      <c r="B115" s="3" t="s">
        <v>258</v>
      </c>
      <c r="C115" s="3">
        <v>1</v>
      </c>
      <c r="D115" s="3">
        <v>8</v>
      </c>
      <c r="E115" s="2" t="s">
        <v>405</v>
      </c>
      <c r="F115" s="3">
        <v>4</v>
      </c>
      <c r="G115" s="4" t="s">
        <v>515</v>
      </c>
      <c r="H115" s="4"/>
      <c r="I115" s="4"/>
      <c r="J115" s="4"/>
      <c r="K115" s="4"/>
      <c r="L115" s="3">
        <f t="shared" si="2"/>
        <v>4</v>
      </c>
      <c r="M115" s="4"/>
      <c r="N115" s="4"/>
      <c r="O115" s="4"/>
      <c r="P115" s="4"/>
      <c r="Q115" s="4"/>
      <c r="R115" s="4"/>
      <c r="S115" s="3">
        <f t="shared" si="3"/>
        <v>0</v>
      </c>
      <c r="T115" s="5"/>
    </row>
    <row r="116" spans="1:20" x14ac:dyDescent="0.25">
      <c r="A116" s="3" t="s">
        <v>257</v>
      </c>
      <c r="B116" s="3" t="s">
        <v>258</v>
      </c>
      <c r="C116" s="3">
        <v>1</v>
      </c>
      <c r="D116" s="3">
        <v>9</v>
      </c>
      <c r="E116" s="2" t="s">
        <v>406</v>
      </c>
      <c r="F116" s="3">
        <v>7</v>
      </c>
      <c r="G116" s="4" t="s">
        <v>515</v>
      </c>
      <c r="H116" s="4"/>
      <c r="I116" s="4"/>
      <c r="J116" s="4"/>
      <c r="K116" s="4"/>
      <c r="L116" s="3">
        <f t="shared" si="2"/>
        <v>7</v>
      </c>
      <c r="M116" s="4"/>
      <c r="N116" s="4"/>
      <c r="O116" s="4"/>
      <c r="P116" s="4"/>
      <c r="Q116" s="4"/>
      <c r="R116" s="4"/>
      <c r="S116" s="3">
        <f t="shared" si="3"/>
        <v>0</v>
      </c>
      <c r="T116" s="5"/>
    </row>
    <row r="117" spans="1:20" ht="28.5" x14ac:dyDescent="0.25">
      <c r="A117" s="3" t="s">
        <v>257</v>
      </c>
      <c r="B117" s="3" t="s">
        <v>258</v>
      </c>
      <c r="C117" s="3">
        <v>1</v>
      </c>
      <c r="D117" s="3">
        <v>10</v>
      </c>
      <c r="E117" s="2" t="s">
        <v>407</v>
      </c>
      <c r="F117" s="3">
        <v>7</v>
      </c>
      <c r="G117" s="4" t="s">
        <v>515</v>
      </c>
      <c r="H117" s="4"/>
      <c r="I117" s="4"/>
      <c r="J117" s="4"/>
      <c r="K117" s="4"/>
      <c r="L117" s="3">
        <f t="shared" si="2"/>
        <v>7</v>
      </c>
      <c r="M117" s="4"/>
      <c r="N117" s="4"/>
      <c r="O117" s="4"/>
      <c r="P117" s="4"/>
      <c r="Q117" s="4"/>
      <c r="R117" s="4"/>
      <c r="S117" s="3">
        <f t="shared" si="3"/>
        <v>0</v>
      </c>
      <c r="T117" s="5"/>
    </row>
    <row r="118" spans="1:20" ht="28.5" x14ac:dyDescent="0.25">
      <c r="A118" s="3" t="s">
        <v>257</v>
      </c>
      <c r="B118" s="3" t="s">
        <v>258</v>
      </c>
      <c r="C118" s="3">
        <v>1</v>
      </c>
      <c r="D118" s="3">
        <v>11</v>
      </c>
      <c r="E118" s="2" t="s">
        <v>408</v>
      </c>
      <c r="F118" s="3">
        <v>11</v>
      </c>
      <c r="G118" s="4" t="s">
        <v>515</v>
      </c>
      <c r="H118" s="4"/>
      <c r="I118" s="4"/>
      <c r="J118" s="4"/>
      <c r="K118" s="4"/>
      <c r="L118" s="3">
        <f t="shared" si="2"/>
        <v>11</v>
      </c>
      <c r="M118" s="4"/>
      <c r="N118" s="4"/>
      <c r="O118" s="4"/>
      <c r="P118" s="4"/>
      <c r="Q118" s="4"/>
      <c r="R118" s="4"/>
      <c r="S118" s="3">
        <f t="shared" si="3"/>
        <v>0</v>
      </c>
      <c r="T118" s="5"/>
    </row>
    <row r="119" spans="1:20" x14ac:dyDescent="0.25">
      <c r="A119" s="3" t="s">
        <v>261</v>
      </c>
      <c r="B119" s="3" t="s">
        <v>258</v>
      </c>
      <c r="C119" s="3">
        <v>2</v>
      </c>
      <c r="D119" s="3">
        <v>1</v>
      </c>
      <c r="E119" s="2" t="s">
        <v>398</v>
      </c>
      <c r="F119" s="3">
        <v>3</v>
      </c>
      <c r="G119" s="4" t="s">
        <v>515</v>
      </c>
      <c r="H119" s="4"/>
      <c r="I119" s="4"/>
      <c r="J119" s="4"/>
      <c r="K119" s="4"/>
      <c r="L119" s="3">
        <f t="shared" si="2"/>
        <v>3</v>
      </c>
      <c r="M119" s="4"/>
      <c r="N119" s="4"/>
      <c r="O119" s="4"/>
      <c r="P119" s="4"/>
      <c r="Q119" s="4"/>
      <c r="R119" s="4"/>
      <c r="S119" s="3">
        <f t="shared" si="3"/>
        <v>0</v>
      </c>
      <c r="T119" s="5"/>
    </row>
    <row r="120" spans="1:20" x14ac:dyDescent="0.25">
      <c r="A120" s="3" t="s">
        <v>261</v>
      </c>
      <c r="B120" s="3" t="s">
        <v>258</v>
      </c>
      <c r="C120" s="3">
        <v>2</v>
      </c>
      <c r="D120" s="3">
        <v>2</v>
      </c>
      <c r="E120" s="2" t="s">
        <v>409</v>
      </c>
      <c r="F120" s="3">
        <v>4</v>
      </c>
      <c r="G120" s="4" t="s">
        <v>515</v>
      </c>
      <c r="H120" s="4"/>
      <c r="I120" s="4"/>
      <c r="J120" s="4"/>
      <c r="K120" s="4"/>
      <c r="L120" s="3">
        <f t="shared" si="2"/>
        <v>4</v>
      </c>
      <c r="M120" s="4"/>
      <c r="N120" s="4"/>
      <c r="O120" s="4"/>
      <c r="P120" s="4"/>
      <c r="Q120" s="4"/>
      <c r="R120" s="4"/>
      <c r="S120" s="3">
        <f t="shared" si="3"/>
        <v>0</v>
      </c>
      <c r="T120" s="5"/>
    </row>
    <row r="121" spans="1:20" x14ac:dyDescent="0.25">
      <c r="A121" s="3" t="s">
        <v>261</v>
      </c>
      <c r="B121" s="3" t="s">
        <v>258</v>
      </c>
      <c r="C121" s="3">
        <v>2</v>
      </c>
      <c r="D121" s="3">
        <v>3</v>
      </c>
      <c r="E121" s="2" t="s">
        <v>400</v>
      </c>
      <c r="F121" s="3">
        <v>3</v>
      </c>
      <c r="G121" s="4" t="s">
        <v>515</v>
      </c>
      <c r="H121" s="4"/>
      <c r="I121" s="4"/>
      <c r="J121" s="4"/>
      <c r="K121" s="4"/>
      <c r="L121" s="3">
        <f t="shared" si="2"/>
        <v>3</v>
      </c>
      <c r="M121" s="4"/>
      <c r="N121" s="4"/>
      <c r="O121" s="4"/>
      <c r="P121" s="4"/>
      <c r="Q121" s="4"/>
      <c r="R121" s="4"/>
      <c r="S121" s="3">
        <f t="shared" si="3"/>
        <v>0</v>
      </c>
      <c r="T121" s="5"/>
    </row>
    <row r="122" spans="1:20" x14ac:dyDescent="0.25">
      <c r="A122" s="3" t="s">
        <v>261</v>
      </c>
      <c r="B122" s="3" t="s">
        <v>258</v>
      </c>
      <c r="C122" s="3">
        <v>2</v>
      </c>
      <c r="D122" s="3">
        <v>4</v>
      </c>
      <c r="E122" s="2" t="s">
        <v>410</v>
      </c>
      <c r="F122" s="3">
        <v>3</v>
      </c>
      <c r="G122" s="4" t="s">
        <v>515</v>
      </c>
      <c r="H122" s="4"/>
      <c r="I122" s="4"/>
      <c r="J122" s="4"/>
      <c r="K122" s="4"/>
      <c r="L122" s="3">
        <f t="shared" si="2"/>
        <v>3</v>
      </c>
      <c r="M122" s="4"/>
      <c r="N122" s="4"/>
      <c r="O122" s="4"/>
      <c r="P122" s="4"/>
      <c r="Q122" s="4"/>
      <c r="R122" s="4"/>
      <c r="S122" s="3">
        <f t="shared" si="3"/>
        <v>0</v>
      </c>
      <c r="T122" s="5"/>
    </row>
    <row r="123" spans="1:20" x14ac:dyDescent="0.25">
      <c r="A123" s="3" t="s">
        <v>261</v>
      </c>
      <c r="B123" s="3" t="s">
        <v>258</v>
      </c>
      <c r="C123" s="3">
        <v>2</v>
      </c>
      <c r="D123" s="3">
        <v>5</v>
      </c>
      <c r="E123" s="2" t="s">
        <v>411</v>
      </c>
      <c r="F123" s="3">
        <v>3</v>
      </c>
      <c r="G123" s="4" t="s">
        <v>515</v>
      </c>
      <c r="H123" s="4"/>
      <c r="I123" s="4"/>
      <c r="J123" s="4"/>
      <c r="K123" s="4"/>
      <c r="L123" s="3">
        <f t="shared" si="2"/>
        <v>3</v>
      </c>
      <c r="M123" s="4"/>
      <c r="N123" s="4"/>
      <c r="O123" s="4"/>
      <c r="P123" s="4"/>
      <c r="Q123" s="4"/>
      <c r="R123" s="4"/>
      <c r="S123" s="3">
        <f t="shared" si="3"/>
        <v>0</v>
      </c>
      <c r="T123" s="5"/>
    </row>
    <row r="124" spans="1:20" x14ac:dyDescent="0.25">
      <c r="A124" s="3" t="s">
        <v>261</v>
      </c>
      <c r="B124" s="3" t="s">
        <v>258</v>
      </c>
      <c r="C124" s="3">
        <v>2</v>
      </c>
      <c r="D124" s="3">
        <v>6</v>
      </c>
      <c r="E124" s="2" t="s">
        <v>403</v>
      </c>
      <c r="F124" s="3">
        <v>3</v>
      </c>
      <c r="G124" s="4" t="s">
        <v>515</v>
      </c>
      <c r="H124" s="4"/>
      <c r="I124" s="4"/>
      <c r="J124" s="4"/>
      <c r="K124" s="4"/>
      <c r="L124" s="3">
        <f t="shared" si="2"/>
        <v>3</v>
      </c>
      <c r="M124" s="4"/>
      <c r="N124" s="4"/>
      <c r="O124" s="4"/>
      <c r="P124" s="4"/>
      <c r="Q124" s="4"/>
      <c r="R124" s="4"/>
      <c r="S124" s="3">
        <f t="shared" si="3"/>
        <v>0</v>
      </c>
      <c r="T124" s="5"/>
    </row>
    <row r="125" spans="1:20" ht="28.5" x14ac:dyDescent="0.25">
      <c r="A125" s="3" t="s">
        <v>261</v>
      </c>
      <c r="B125" s="3" t="s">
        <v>258</v>
      </c>
      <c r="C125" s="3">
        <v>2</v>
      </c>
      <c r="D125" s="3">
        <v>7</v>
      </c>
      <c r="E125" s="2" t="s">
        <v>412</v>
      </c>
      <c r="F125" s="3">
        <v>6</v>
      </c>
      <c r="G125" s="4" t="s">
        <v>514</v>
      </c>
      <c r="H125" s="4"/>
      <c r="I125" s="4">
        <v>2</v>
      </c>
      <c r="J125" s="4">
        <v>1</v>
      </c>
      <c r="K125" s="4"/>
      <c r="L125" s="3">
        <f t="shared" si="2"/>
        <v>3</v>
      </c>
      <c r="M125" s="4"/>
      <c r="N125" s="4"/>
      <c r="O125" s="4"/>
      <c r="P125" s="4"/>
      <c r="Q125" s="4"/>
      <c r="R125" s="4"/>
      <c r="S125" s="3">
        <f t="shared" si="3"/>
        <v>0</v>
      </c>
      <c r="T125" s="5"/>
    </row>
    <row r="126" spans="1:20" x14ac:dyDescent="0.25">
      <c r="A126" s="3" t="s">
        <v>261</v>
      </c>
      <c r="B126" s="3" t="s">
        <v>258</v>
      </c>
      <c r="C126" s="3">
        <v>2</v>
      </c>
      <c r="D126" s="3">
        <v>8</v>
      </c>
      <c r="E126" s="2" t="s">
        <v>405</v>
      </c>
      <c r="F126" s="3">
        <v>4</v>
      </c>
      <c r="G126" s="4" t="s">
        <v>515</v>
      </c>
      <c r="H126" s="4"/>
      <c r="I126" s="4"/>
      <c r="J126" s="4"/>
      <c r="K126" s="4"/>
      <c r="L126" s="3">
        <f t="shared" si="2"/>
        <v>4</v>
      </c>
      <c r="M126" s="4"/>
      <c r="N126" s="4"/>
      <c r="O126" s="4"/>
      <c r="P126" s="4"/>
      <c r="Q126" s="4"/>
      <c r="R126" s="4"/>
      <c r="S126" s="3">
        <f t="shared" si="3"/>
        <v>0</v>
      </c>
      <c r="T126" s="5"/>
    </row>
    <row r="127" spans="1:20" ht="28.5" x14ac:dyDescent="0.25">
      <c r="A127" s="3" t="s">
        <v>261</v>
      </c>
      <c r="B127" s="3" t="s">
        <v>258</v>
      </c>
      <c r="C127" s="3">
        <v>2</v>
      </c>
      <c r="D127" s="3">
        <v>9</v>
      </c>
      <c r="E127" s="2" t="s">
        <v>413</v>
      </c>
      <c r="F127" s="3">
        <v>10</v>
      </c>
      <c r="G127" s="4" t="s">
        <v>514</v>
      </c>
      <c r="H127" s="4"/>
      <c r="I127" s="4">
        <v>3</v>
      </c>
      <c r="J127" s="4"/>
      <c r="K127" s="4"/>
      <c r="L127" s="3">
        <f t="shared" si="2"/>
        <v>7</v>
      </c>
      <c r="M127" s="4"/>
      <c r="N127" s="4"/>
      <c r="O127" s="4"/>
      <c r="P127" s="4"/>
      <c r="Q127" s="4"/>
      <c r="R127" s="4"/>
      <c r="S127" s="3">
        <f t="shared" si="3"/>
        <v>0</v>
      </c>
      <c r="T127" s="5"/>
    </row>
    <row r="128" spans="1:20" ht="28.5" x14ac:dyDescent="0.25">
      <c r="A128" s="3" t="s">
        <v>261</v>
      </c>
      <c r="B128" s="3" t="s">
        <v>258</v>
      </c>
      <c r="C128" s="3">
        <v>2</v>
      </c>
      <c r="D128" s="3">
        <v>10</v>
      </c>
      <c r="E128" s="2" t="s">
        <v>414</v>
      </c>
      <c r="F128" s="3">
        <v>8</v>
      </c>
      <c r="G128" s="4" t="s">
        <v>515</v>
      </c>
      <c r="H128" s="4"/>
      <c r="I128" s="4"/>
      <c r="J128" s="4"/>
      <c r="K128" s="4"/>
      <c r="L128" s="3">
        <f t="shared" si="2"/>
        <v>8</v>
      </c>
      <c r="M128" s="4"/>
      <c r="N128" s="4"/>
      <c r="O128" s="4"/>
      <c r="P128" s="4"/>
      <c r="Q128" s="4"/>
      <c r="R128" s="4"/>
      <c r="S128" s="3">
        <f t="shared" si="3"/>
        <v>0</v>
      </c>
      <c r="T128" s="5"/>
    </row>
    <row r="129" spans="1:20" ht="28.5" x14ac:dyDescent="0.25">
      <c r="A129" s="3" t="s">
        <v>261</v>
      </c>
      <c r="B129" s="3" t="s">
        <v>258</v>
      </c>
      <c r="C129" s="3">
        <v>2</v>
      </c>
      <c r="D129" s="3">
        <v>11</v>
      </c>
      <c r="E129" s="2" t="s">
        <v>415</v>
      </c>
      <c r="F129" s="3">
        <v>11</v>
      </c>
      <c r="G129" s="4" t="s">
        <v>515</v>
      </c>
      <c r="H129" s="4"/>
      <c r="I129" s="4"/>
      <c r="J129" s="4"/>
      <c r="K129" s="4"/>
      <c r="L129" s="3">
        <f t="shared" si="2"/>
        <v>11</v>
      </c>
      <c r="M129" s="4"/>
      <c r="N129" s="4"/>
      <c r="O129" s="4"/>
      <c r="P129" s="4"/>
      <c r="Q129" s="4"/>
      <c r="R129" s="4"/>
      <c r="S129" s="3">
        <f t="shared" si="3"/>
        <v>0</v>
      </c>
      <c r="T129" s="5"/>
    </row>
    <row r="130" spans="1:20" ht="28.5" x14ac:dyDescent="0.25">
      <c r="A130" s="3" t="s">
        <v>261</v>
      </c>
      <c r="B130" s="3" t="s">
        <v>258</v>
      </c>
      <c r="C130" s="3">
        <v>2</v>
      </c>
      <c r="D130" s="3">
        <v>12</v>
      </c>
      <c r="E130" s="2" t="s">
        <v>416</v>
      </c>
      <c r="F130" s="3">
        <v>2</v>
      </c>
      <c r="G130" s="4" t="s">
        <v>514</v>
      </c>
      <c r="H130" s="4">
        <v>1</v>
      </c>
      <c r="I130" s="4"/>
      <c r="J130" s="4"/>
      <c r="K130" s="4"/>
      <c r="L130" s="3">
        <f t="shared" ref="L130:L193" si="4">F130-(H130+I130+J130+K130)</f>
        <v>1</v>
      </c>
      <c r="M130" s="4"/>
      <c r="N130" s="4"/>
      <c r="O130" s="4"/>
      <c r="P130" s="4"/>
      <c r="Q130" s="4"/>
      <c r="R130" s="4"/>
      <c r="S130" s="3">
        <f t="shared" ref="S130:S193" si="5">N130+O130+P130+Q130+R130</f>
        <v>0</v>
      </c>
      <c r="T130" s="5"/>
    </row>
    <row r="131" spans="1:20" ht="99.75" x14ac:dyDescent="0.25">
      <c r="A131" s="3" t="s">
        <v>261</v>
      </c>
      <c r="B131" s="3" t="s">
        <v>258</v>
      </c>
      <c r="C131" s="3">
        <v>2</v>
      </c>
      <c r="D131" s="3">
        <v>13</v>
      </c>
      <c r="E131" s="2" t="s">
        <v>417</v>
      </c>
      <c r="F131" s="3">
        <v>32</v>
      </c>
      <c r="G131" s="4" t="s">
        <v>514</v>
      </c>
      <c r="H131" s="4">
        <v>5</v>
      </c>
      <c r="I131" s="4">
        <v>4</v>
      </c>
      <c r="J131" s="4">
        <v>2</v>
      </c>
      <c r="K131" s="4"/>
      <c r="L131" s="3">
        <f t="shared" si="4"/>
        <v>21</v>
      </c>
      <c r="M131" s="4"/>
      <c r="N131" s="4"/>
      <c r="O131" s="4"/>
      <c r="P131" s="4"/>
      <c r="Q131" s="4"/>
      <c r="R131" s="4"/>
      <c r="S131" s="3">
        <f t="shared" si="5"/>
        <v>0</v>
      </c>
      <c r="T131" s="5" t="s">
        <v>516</v>
      </c>
    </row>
    <row r="132" spans="1:20" ht="28.5" x14ac:dyDescent="0.25">
      <c r="A132" s="3" t="s">
        <v>263</v>
      </c>
      <c r="B132" s="3" t="s">
        <v>258</v>
      </c>
      <c r="C132" s="3">
        <v>3</v>
      </c>
      <c r="D132" s="3">
        <v>1</v>
      </c>
      <c r="E132" s="2" t="s">
        <v>418</v>
      </c>
      <c r="F132" s="3">
        <v>4</v>
      </c>
      <c r="G132" s="4" t="s">
        <v>514</v>
      </c>
      <c r="H132" s="4">
        <v>2</v>
      </c>
      <c r="I132" s="4"/>
      <c r="J132" s="4"/>
      <c r="K132" s="4"/>
      <c r="L132" s="3">
        <f t="shared" si="4"/>
        <v>2</v>
      </c>
      <c r="M132" s="4"/>
      <c r="N132" s="4"/>
      <c r="O132" s="4"/>
      <c r="P132" s="4"/>
      <c r="Q132" s="4"/>
      <c r="R132" s="4"/>
      <c r="S132" s="3">
        <f t="shared" si="5"/>
        <v>0</v>
      </c>
      <c r="T132" s="5"/>
    </row>
    <row r="133" spans="1:20" x14ac:dyDescent="0.25">
      <c r="A133" s="3" t="s">
        <v>263</v>
      </c>
      <c r="B133" s="3" t="s">
        <v>258</v>
      </c>
      <c r="C133" s="3">
        <v>3</v>
      </c>
      <c r="D133" s="3">
        <v>2</v>
      </c>
      <c r="E133" s="2" t="s">
        <v>419</v>
      </c>
      <c r="F133" s="3">
        <v>3</v>
      </c>
      <c r="G133" s="4" t="s">
        <v>515</v>
      </c>
      <c r="H133" s="4"/>
      <c r="I133" s="4"/>
      <c r="J133" s="4"/>
      <c r="K133" s="4"/>
      <c r="L133" s="3">
        <f t="shared" si="4"/>
        <v>3</v>
      </c>
      <c r="M133" s="4"/>
      <c r="N133" s="4"/>
      <c r="O133" s="4"/>
      <c r="P133" s="4"/>
      <c r="Q133" s="4"/>
      <c r="R133" s="4"/>
      <c r="S133" s="3">
        <f t="shared" si="5"/>
        <v>0</v>
      </c>
      <c r="T133" s="5"/>
    </row>
    <row r="134" spans="1:20" ht="28.5" x14ac:dyDescent="0.25">
      <c r="A134" s="3" t="s">
        <v>263</v>
      </c>
      <c r="B134" s="3" t="s">
        <v>258</v>
      </c>
      <c r="C134" s="3">
        <v>3</v>
      </c>
      <c r="D134" s="3">
        <v>3</v>
      </c>
      <c r="E134" s="2" t="s">
        <v>420</v>
      </c>
      <c r="F134" s="3">
        <v>4</v>
      </c>
      <c r="G134" s="4" t="s">
        <v>514</v>
      </c>
      <c r="H134" s="4">
        <v>2</v>
      </c>
      <c r="I134" s="4"/>
      <c r="J134" s="4"/>
      <c r="K134" s="4"/>
      <c r="L134" s="3">
        <f t="shared" si="4"/>
        <v>2</v>
      </c>
      <c r="M134" s="4"/>
      <c r="N134" s="4"/>
      <c r="O134" s="4"/>
      <c r="P134" s="4"/>
      <c r="Q134" s="4"/>
      <c r="R134" s="4"/>
      <c r="S134" s="3">
        <f t="shared" si="5"/>
        <v>0</v>
      </c>
      <c r="T134" s="5"/>
    </row>
    <row r="135" spans="1:20" x14ac:dyDescent="0.25">
      <c r="A135" s="3" t="s">
        <v>263</v>
      </c>
      <c r="B135" s="3" t="s">
        <v>258</v>
      </c>
      <c r="C135" s="3">
        <v>3</v>
      </c>
      <c r="D135" s="3">
        <v>4</v>
      </c>
      <c r="E135" s="2" t="s">
        <v>400</v>
      </c>
      <c r="F135" s="3">
        <v>3</v>
      </c>
      <c r="G135" s="4" t="s">
        <v>515</v>
      </c>
      <c r="H135" s="4"/>
      <c r="I135" s="4"/>
      <c r="J135" s="4"/>
      <c r="K135" s="4"/>
      <c r="L135" s="3">
        <f t="shared" si="4"/>
        <v>3</v>
      </c>
      <c r="M135" s="4"/>
      <c r="N135" s="4"/>
      <c r="O135" s="4"/>
      <c r="P135" s="4"/>
      <c r="Q135" s="4"/>
      <c r="R135" s="4"/>
      <c r="S135" s="3">
        <f t="shared" si="5"/>
        <v>0</v>
      </c>
      <c r="T135" s="5"/>
    </row>
    <row r="136" spans="1:20" x14ac:dyDescent="0.25">
      <c r="A136" s="3" t="s">
        <v>263</v>
      </c>
      <c r="B136" s="3" t="s">
        <v>258</v>
      </c>
      <c r="C136" s="3">
        <v>3</v>
      </c>
      <c r="D136" s="3">
        <v>5</v>
      </c>
      <c r="E136" s="2" t="s">
        <v>401</v>
      </c>
      <c r="F136" s="3">
        <v>4</v>
      </c>
      <c r="G136" s="4" t="s">
        <v>515</v>
      </c>
      <c r="H136" s="4"/>
      <c r="I136" s="4"/>
      <c r="J136" s="4"/>
      <c r="K136" s="4"/>
      <c r="L136" s="3">
        <f t="shared" si="4"/>
        <v>4</v>
      </c>
      <c r="M136" s="4"/>
      <c r="N136" s="4"/>
      <c r="O136" s="4"/>
      <c r="P136" s="4"/>
      <c r="Q136" s="4"/>
      <c r="R136" s="4"/>
      <c r="S136" s="3">
        <f t="shared" si="5"/>
        <v>0</v>
      </c>
      <c r="T136" s="5"/>
    </row>
    <row r="137" spans="1:20" x14ac:dyDescent="0.25">
      <c r="A137" s="3" t="s">
        <v>263</v>
      </c>
      <c r="B137" s="3" t="s">
        <v>258</v>
      </c>
      <c r="C137" s="3">
        <v>3</v>
      </c>
      <c r="D137" s="3">
        <v>6</v>
      </c>
      <c r="E137" s="2" t="s">
        <v>421</v>
      </c>
      <c r="F137" s="3">
        <v>3</v>
      </c>
      <c r="G137" s="4" t="s">
        <v>515</v>
      </c>
      <c r="H137" s="4"/>
      <c r="I137" s="4"/>
      <c r="J137" s="4"/>
      <c r="K137" s="4"/>
      <c r="L137" s="3">
        <f t="shared" si="4"/>
        <v>3</v>
      </c>
      <c r="M137" s="4"/>
      <c r="N137" s="4"/>
      <c r="O137" s="4"/>
      <c r="P137" s="4"/>
      <c r="Q137" s="4"/>
      <c r="R137" s="4"/>
      <c r="S137" s="3">
        <f t="shared" si="5"/>
        <v>0</v>
      </c>
      <c r="T137" s="5"/>
    </row>
    <row r="138" spans="1:20" x14ac:dyDescent="0.25">
      <c r="A138" s="3" t="s">
        <v>263</v>
      </c>
      <c r="B138" s="3" t="s">
        <v>258</v>
      </c>
      <c r="C138" s="3">
        <v>3</v>
      </c>
      <c r="D138" s="3">
        <v>7</v>
      </c>
      <c r="E138" s="2" t="s">
        <v>422</v>
      </c>
      <c r="F138" s="3">
        <v>3</v>
      </c>
      <c r="G138" s="4" t="s">
        <v>515</v>
      </c>
      <c r="H138" s="4"/>
      <c r="I138" s="4"/>
      <c r="J138" s="4"/>
      <c r="K138" s="4"/>
      <c r="L138" s="3">
        <f t="shared" si="4"/>
        <v>3</v>
      </c>
      <c r="M138" s="4"/>
      <c r="N138" s="4"/>
      <c r="O138" s="4"/>
      <c r="P138" s="4"/>
      <c r="Q138" s="4"/>
      <c r="R138" s="4"/>
      <c r="S138" s="3">
        <f t="shared" si="5"/>
        <v>0</v>
      </c>
      <c r="T138" s="5"/>
    </row>
    <row r="139" spans="1:20" ht="28.5" x14ac:dyDescent="0.25">
      <c r="A139" s="3" t="s">
        <v>263</v>
      </c>
      <c r="B139" s="3" t="s">
        <v>258</v>
      </c>
      <c r="C139" s="3">
        <v>3</v>
      </c>
      <c r="D139" s="3">
        <v>8</v>
      </c>
      <c r="E139" s="2" t="s">
        <v>423</v>
      </c>
      <c r="F139" s="3">
        <v>3</v>
      </c>
      <c r="G139" s="4" t="s">
        <v>514</v>
      </c>
      <c r="H139" s="4">
        <v>1</v>
      </c>
      <c r="I139" s="4"/>
      <c r="J139" s="4"/>
      <c r="K139" s="4"/>
      <c r="L139" s="3">
        <f t="shared" si="4"/>
        <v>2</v>
      </c>
      <c r="M139" s="4"/>
      <c r="N139" s="4"/>
      <c r="O139" s="4"/>
      <c r="P139" s="4"/>
      <c r="Q139" s="4"/>
      <c r="R139" s="4"/>
      <c r="S139" s="3">
        <f t="shared" si="5"/>
        <v>0</v>
      </c>
      <c r="T139" s="5"/>
    </row>
    <row r="140" spans="1:20" x14ac:dyDescent="0.25">
      <c r="A140" s="3" t="s">
        <v>263</v>
      </c>
      <c r="B140" s="3" t="s">
        <v>258</v>
      </c>
      <c r="C140" s="3">
        <v>3</v>
      </c>
      <c r="D140" s="3">
        <v>9</v>
      </c>
      <c r="E140" s="2" t="s">
        <v>405</v>
      </c>
      <c r="F140" s="3">
        <v>4</v>
      </c>
      <c r="G140" s="4" t="s">
        <v>515</v>
      </c>
      <c r="H140" s="4"/>
      <c r="I140" s="4"/>
      <c r="J140" s="4"/>
      <c r="K140" s="4"/>
      <c r="L140" s="3">
        <f t="shared" si="4"/>
        <v>4</v>
      </c>
      <c r="M140" s="4"/>
      <c r="N140" s="4"/>
      <c r="O140" s="4"/>
      <c r="P140" s="4"/>
      <c r="Q140" s="4"/>
      <c r="R140" s="4"/>
      <c r="S140" s="3">
        <f t="shared" si="5"/>
        <v>0</v>
      </c>
      <c r="T140" s="5"/>
    </row>
    <row r="141" spans="1:20" x14ac:dyDescent="0.25">
      <c r="A141" s="3" t="s">
        <v>263</v>
      </c>
      <c r="B141" s="3" t="s">
        <v>258</v>
      </c>
      <c r="C141" s="3">
        <v>3</v>
      </c>
      <c r="D141" s="3">
        <v>10</v>
      </c>
      <c r="E141" s="2" t="s">
        <v>406</v>
      </c>
      <c r="F141" s="3">
        <v>7</v>
      </c>
      <c r="G141" s="4" t="s">
        <v>515</v>
      </c>
      <c r="H141" s="4"/>
      <c r="I141" s="4"/>
      <c r="J141" s="4"/>
      <c r="K141" s="4"/>
      <c r="L141" s="3">
        <f t="shared" si="4"/>
        <v>7</v>
      </c>
      <c r="M141" s="4"/>
      <c r="N141" s="4"/>
      <c r="O141" s="4"/>
      <c r="P141" s="4"/>
      <c r="Q141" s="4"/>
      <c r="R141" s="4"/>
      <c r="S141" s="3">
        <f t="shared" si="5"/>
        <v>0</v>
      </c>
      <c r="T141" s="5"/>
    </row>
    <row r="142" spans="1:20" ht="28.5" x14ac:dyDescent="0.25">
      <c r="A142" s="3" t="s">
        <v>263</v>
      </c>
      <c r="B142" s="3" t="s">
        <v>258</v>
      </c>
      <c r="C142" s="3">
        <v>3</v>
      </c>
      <c r="D142" s="3">
        <v>11</v>
      </c>
      <c r="E142" s="2" t="s">
        <v>424</v>
      </c>
      <c r="F142" s="3">
        <v>8</v>
      </c>
      <c r="G142" s="4" t="s">
        <v>515</v>
      </c>
      <c r="H142" s="4"/>
      <c r="I142" s="4"/>
      <c r="J142" s="4"/>
      <c r="K142" s="4"/>
      <c r="L142" s="3">
        <f t="shared" si="4"/>
        <v>8</v>
      </c>
      <c r="M142" s="4"/>
      <c r="N142" s="4"/>
      <c r="O142" s="4"/>
      <c r="P142" s="4"/>
      <c r="Q142" s="4"/>
      <c r="R142" s="4"/>
      <c r="S142" s="3">
        <f t="shared" si="5"/>
        <v>0</v>
      </c>
      <c r="T142" s="5"/>
    </row>
    <row r="143" spans="1:20" ht="28.5" x14ac:dyDescent="0.25">
      <c r="A143" s="3" t="s">
        <v>263</v>
      </c>
      <c r="B143" s="3" t="s">
        <v>258</v>
      </c>
      <c r="C143" s="3">
        <v>3</v>
      </c>
      <c r="D143" s="3">
        <v>12</v>
      </c>
      <c r="E143" s="2" t="s">
        <v>425</v>
      </c>
      <c r="F143" s="3">
        <v>13</v>
      </c>
      <c r="G143" s="4" t="s">
        <v>514</v>
      </c>
      <c r="H143" s="4">
        <v>1</v>
      </c>
      <c r="I143" s="4"/>
      <c r="J143" s="4"/>
      <c r="K143" s="4"/>
      <c r="L143" s="3">
        <f t="shared" si="4"/>
        <v>12</v>
      </c>
      <c r="M143" s="4"/>
      <c r="N143" s="4"/>
      <c r="O143" s="4"/>
      <c r="P143" s="4"/>
      <c r="Q143" s="4"/>
      <c r="R143" s="4"/>
      <c r="S143" s="3">
        <f t="shared" si="5"/>
        <v>0</v>
      </c>
      <c r="T143" s="5"/>
    </row>
    <row r="144" spans="1:20" x14ac:dyDescent="0.25">
      <c r="A144" s="3" t="s">
        <v>265</v>
      </c>
      <c r="B144" s="3" t="s">
        <v>258</v>
      </c>
      <c r="C144" s="3">
        <v>4</v>
      </c>
      <c r="D144" s="3">
        <v>1</v>
      </c>
      <c r="E144" s="2" t="s">
        <v>426</v>
      </c>
      <c r="F144" s="3">
        <v>4</v>
      </c>
      <c r="G144" s="4" t="s">
        <v>515</v>
      </c>
      <c r="H144" s="4"/>
      <c r="I144" s="4"/>
      <c r="J144" s="4"/>
      <c r="K144" s="4"/>
      <c r="L144" s="3">
        <f t="shared" si="4"/>
        <v>4</v>
      </c>
      <c r="M144" s="4"/>
      <c r="N144" s="4"/>
      <c r="O144" s="4"/>
      <c r="P144" s="4"/>
      <c r="Q144" s="4"/>
      <c r="R144" s="4"/>
      <c r="S144" s="3">
        <f t="shared" si="5"/>
        <v>0</v>
      </c>
      <c r="T144" s="5"/>
    </row>
    <row r="145" spans="1:20" x14ac:dyDescent="0.25">
      <c r="A145" s="3" t="s">
        <v>265</v>
      </c>
      <c r="B145" s="3" t="s">
        <v>258</v>
      </c>
      <c r="C145" s="3">
        <v>4</v>
      </c>
      <c r="D145" s="3">
        <v>2</v>
      </c>
      <c r="E145" s="2" t="s">
        <v>419</v>
      </c>
      <c r="F145" s="3">
        <v>3</v>
      </c>
      <c r="G145" s="4" t="s">
        <v>515</v>
      </c>
      <c r="H145" s="4"/>
      <c r="I145" s="4"/>
      <c r="J145" s="4"/>
      <c r="K145" s="4"/>
      <c r="L145" s="3">
        <f t="shared" si="4"/>
        <v>3</v>
      </c>
      <c r="M145" s="4"/>
      <c r="N145" s="4"/>
      <c r="O145" s="4"/>
      <c r="P145" s="4"/>
      <c r="Q145" s="4"/>
      <c r="R145" s="4"/>
      <c r="S145" s="3">
        <f t="shared" si="5"/>
        <v>0</v>
      </c>
      <c r="T145" s="5"/>
    </row>
    <row r="146" spans="1:20" x14ac:dyDescent="0.25">
      <c r="A146" s="3" t="s">
        <v>265</v>
      </c>
      <c r="B146" s="3" t="s">
        <v>258</v>
      </c>
      <c r="C146" s="3">
        <v>4</v>
      </c>
      <c r="D146" s="3">
        <v>3</v>
      </c>
      <c r="E146" s="2" t="s">
        <v>427</v>
      </c>
      <c r="F146" s="3">
        <v>4</v>
      </c>
      <c r="G146" s="4" t="s">
        <v>515</v>
      </c>
      <c r="H146" s="4"/>
      <c r="I146" s="4"/>
      <c r="J146" s="4"/>
      <c r="K146" s="4"/>
      <c r="L146" s="3">
        <f t="shared" si="4"/>
        <v>4</v>
      </c>
      <c r="M146" s="4"/>
      <c r="N146" s="4"/>
      <c r="O146" s="4"/>
      <c r="P146" s="4"/>
      <c r="Q146" s="4"/>
      <c r="R146" s="4"/>
      <c r="S146" s="3">
        <f t="shared" si="5"/>
        <v>0</v>
      </c>
      <c r="T146" s="5"/>
    </row>
    <row r="147" spans="1:20" x14ac:dyDescent="0.25">
      <c r="A147" s="3" t="s">
        <v>265</v>
      </c>
      <c r="B147" s="3" t="s">
        <v>258</v>
      </c>
      <c r="C147" s="3">
        <v>4</v>
      </c>
      <c r="D147" s="3">
        <v>4</v>
      </c>
      <c r="E147" s="2" t="s">
        <v>400</v>
      </c>
      <c r="F147" s="3">
        <v>3</v>
      </c>
      <c r="G147" s="4" t="s">
        <v>515</v>
      </c>
      <c r="H147" s="4"/>
      <c r="I147" s="4"/>
      <c r="J147" s="4"/>
      <c r="K147" s="4"/>
      <c r="L147" s="3">
        <f t="shared" si="4"/>
        <v>3</v>
      </c>
      <c r="M147" s="4"/>
      <c r="N147" s="4"/>
      <c r="O147" s="4"/>
      <c r="P147" s="4"/>
      <c r="Q147" s="4"/>
      <c r="R147" s="4"/>
      <c r="S147" s="3">
        <f t="shared" si="5"/>
        <v>0</v>
      </c>
      <c r="T147" s="5"/>
    </row>
    <row r="148" spans="1:20" ht="28.5" x14ac:dyDescent="0.25">
      <c r="A148" s="3" t="s">
        <v>265</v>
      </c>
      <c r="B148" s="3" t="s">
        <v>258</v>
      </c>
      <c r="C148" s="3">
        <v>4</v>
      </c>
      <c r="D148" s="3">
        <v>5</v>
      </c>
      <c r="E148" s="2" t="s">
        <v>428</v>
      </c>
      <c r="F148" s="3">
        <v>4</v>
      </c>
      <c r="G148" s="4" t="s">
        <v>514</v>
      </c>
      <c r="H148" s="4">
        <v>1</v>
      </c>
      <c r="I148" s="4"/>
      <c r="J148" s="4"/>
      <c r="K148" s="4"/>
      <c r="L148" s="3">
        <f t="shared" si="4"/>
        <v>3</v>
      </c>
      <c r="M148" s="4"/>
      <c r="N148" s="4"/>
      <c r="O148" s="4"/>
      <c r="P148" s="4"/>
      <c r="Q148" s="4"/>
      <c r="R148" s="4"/>
      <c r="S148" s="3">
        <f t="shared" si="5"/>
        <v>0</v>
      </c>
      <c r="T148" s="5"/>
    </row>
    <row r="149" spans="1:20" ht="28.5" x14ac:dyDescent="0.25">
      <c r="A149" s="3" t="s">
        <v>265</v>
      </c>
      <c r="B149" s="3" t="s">
        <v>258</v>
      </c>
      <c r="C149" s="3">
        <v>4</v>
      </c>
      <c r="D149" s="3">
        <v>6</v>
      </c>
      <c r="E149" s="2" t="s">
        <v>429</v>
      </c>
      <c r="F149" s="3">
        <v>3</v>
      </c>
      <c r="G149" s="4" t="s">
        <v>514</v>
      </c>
      <c r="H149" s="4">
        <v>2</v>
      </c>
      <c r="I149" s="4"/>
      <c r="J149" s="4"/>
      <c r="K149" s="4"/>
      <c r="L149" s="3">
        <f t="shared" si="4"/>
        <v>1</v>
      </c>
      <c r="M149" s="4"/>
      <c r="N149" s="4"/>
      <c r="O149" s="4"/>
      <c r="P149" s="4"/>
      <c r="Q149" s="4"/>
      <c r="R149" s="4"/>
      <c r="S149" s="3">
        <f t="shared" si="5"/>
        <v>0</v>
      </c>
      <c r="T149" s="5"/>
    </row>
    <row r="150" spans="1:20" x14ac:dyDescent="0.25">
      <c r="A150" s="3" t="s">
        <v>265</v>
      </c>
      <c r="B150" s="3" t="s">
        <v>258</v>
      </c>
      <c r="C150" s="3">
        <v>4</v>
      </c>
      <c r="D150" s="3">
        <v>7</v>
      </c>
      <c r="E150" s="2" t="s">
        <v>403</v>
      </c>
      <c r="F150" s="3">
        <v>3</v>
      </c>
      <c r="G150" s="4" t="s">
        <v>515</v>
      </c>
      <c r="H150" s="4"/>
      <c r="I150" s="4"/>
      <c r="J150" s="4"/>
      <c r="K150" s="4"/>
      <c r="L150" s="3">
        <f t="shared" si="4"/>
        <v>3</v>
      </c>
      <c r="M150" s="4"/>
      <c r="N150" s="4"/>
      <c r="O150" s="4"/>
      <c r="P150" s="4"/>
      <c r="Q150" s="4"/>
      <c r="R150" s="4"/>
      <c r="S150" s="3">
        <f t="shared" si="5"/>
        <v>0</v>
      </c>
      <c r="T150" s="5"/>
    </row>
    <row r="151" spans="1:20" x14ac:dyDescent="0.25">
      <c r="A151" s="3" t="s">
        <v>265</v>
      </c>
      <c r="B151" s="3" t="s">
        <v>258</v>
      </c>
      <c r="C151" s="3">
        <v>4</v>
      </c>
      <c r="D151" s="3">
        <v>8</v>
      </c>
      <c r="E151" s="2" t="s">
        <v>404</v>
      </c>
      <c r="F151" s="3">
        <v>3</v>
      </c>
      <c r="G151" s="4" t="s">
        <v>515</v>
      </c>
      <c r="H151" s="4"/>
      <c r="I151" s="4"/>
      <c r="J151" s="4"/>
      <c r="K151" s="4"/>
      <c r="L151" s="3">
        <f t="shared" si="4"/>
        <v>3</v>
      </c>
      <c r="M151" s="4"/>
      <c r="N151" s="4"/>
      <c r="O151" s="4"/>
      <c r="P151" s="4"/>
      <c r="Q151" s="4"/>
      <c r="R151" s="4"/>
      <c r="S151" s="3">
        <f t="shared" si="5"/>
        <v>0</v>
      </c>
      <c r="T151" s="5"/>
    </row>
    <row r="152" spans="1:20" x14ac:dyDescent="0.25">
      <c r="A152" s="3" t="s">
        <v>265</v>
      </c>
      <c r="B152" s="3" t="s">
        <v>258</v>
      </c>
      <c r="C152" s="3">
        <v>4</v>
      </c>
      <c r="D152" s="3">
        <v>9</v>
      </c>
      <c r="E152" s="2" t="s">
        <v>405</v>
      </c>
      <c r="F152" s="3">
        <v>4</v>
      </c>
      <c r="G152" s="4" t="s">
        <v>515</v>
      </c>
      <c r="H152" s="4"/>
      <c r="I152" s="4"/>
      <c r="J152" s="4"/>
      <c r="K152" s="4"/>
      <c r="L152" s="3">
        <f t="shared" si="4"/>
        <v>4</v>
      </c>
      <c r="M152" s="4"/>
      <c r="N152" s="4"/>
      <c r="O152" s="4"/>
      <c r="P152" s="4"/>
      <c r="Q152" s="4"/>
      <c r="R152" s="4"/>
      <c r="S152" s="3">
        <f t="shared" si="5"/>
        <v>0</v>
      </c>
      <c r="T152" s="5"/>
    </row>
    <row r="153" spans="1:20" x14ac:dyDescent="0.25">
      <c r="A153" s="3" t="s">
        <v>265</v>
      </c>
      <c r="B153" s="3" t="s">
        <v>258</v>
      </c>
      <c r="C153" s="3">
        <v>4</v>
      </c>
      <c r="D153" s="3">
        <v>10</v>
      </c>
      <c r="E153" s="2" t="s">
        <v>406</v>
      </c>
      <c r="F153" s="3">
        <v>7</v>
      </c>
      <c r="G153" s="4" t="s">
        <v>515</v>
      </c>
      <c r="H153" s="4"/>
      <c r="I153" s="4"/>
      <c r="J153" s="4"/>
      <c r="K153" s="4"/>
      <c r="L153" s="3">
        <f t="shared" si="4"/>
        <v>7</v>
      </c>
      <c r="M153" s="4"/>
      <c r="N153" s="4"/>
      <c r="O153" s="4"/>
      <c r="P153" s="4"/>
      <c r="Q153" s="4"/>
      <c r="R153" s="4"/>
      <c r="S153" s="3">
        <f t="shared" si="5"/>
        <v>0</v>
      </c>
      <c r="T153" s="5"/>
    </row>
    <row r="154" spans="1:20" ht="28.5" x14ac:dyDescent="0.25">
      <c r="A154" s="3" t="s">
        <v>265</v>
      </c>
      <c r="B154" s="3" t="s">
        <v>258</v>
      </c>
      <c r="C154" s="3">
        <v>4</v>
      </c>
      <c r="D154" s="3">
        <v>11</v>
      </c>
      <c r="E154" s="2" t="s">
        <v>430</v>
      </c>
      <c r="F154" s="3">
        <v>8</v>
      </c>
      <c r="G154" s="4" t="s">
        <v>514</v>
      </c>
      <c r="H154" s="4">
        <v>2</v>
      </c>
      <c r="I154" s="4"/>
      <c r="J154" s="4"/>
      <c r="K154" s="4"/>
      <c r="L154" s="3">
        <f t="shared" si="4"/>
        <v>6</v>
      </c>
      <c r="M154" s="4"/>
      <c r="N154" s="4"/>
      <c r="O154" s="4"/>
      <c r="P154" s="4"/>
      <c r="Q154" s="4"/>
      <c r="R154" s="4"/>
      <c r="S154" s="3">
        <f t="shared" si="5"/>
        <v>0</v>
      </c>
      <c r="T154" s="5"/>
    </row>
    <row r="155" spans="1:20" ht="28.5" x14ac:dyDescent="0.25">
      <c r="A155" s="3" t="s">
        <v>265</v>
      </c>
      <c r="B155" s="3" t="s">
        <v>258</v>
      </c>
      <c r="C155" s="3">
        <v>4</v>
      </c>
      <c r="D155" s="3">
        <v>12</v>
      </c>
      <c r="E155" s="2" t="s">
        <v>431</v>
      </c>
      <c r="F155" s="3">
        <v>10</v>
      </c>
      <c r="G155" s="4" t="s">
        <v>514</v>
      </c>
      <c r="H155" s="4"/>
      <c r="I155" s="4">
        <v>2</v>
      </c>
      <c r="J155" s="4">
        <v>2</v>
      </c>
      <c r="K155" s="4"/>
      <c r="L155" s="3">
        <f t="shared" si="4"/>
        <v>6</v>
      </c>
      <c r="M155" s="4"/>
      <c r="N155" s="4"/>
      <c r="O155" s="4"/>
      <c r="P155" s="4"/>
      <c r="Q155" s="4"/>
      <c r="R155" s="4"/>
      <c r="S155" s="3">
        <f t="shared" si="5"/>
        <v>0</v>
      </c>
      <c r="T155" s="5"/>
    </row>
    <row r="156" spans="1:20" x14ac:dyDescent="0.25">
      <c r="A156" s="3" t="s">
        <v>267</v>
      </c>
      <c r="B156" s="3" t="s">
        <v>258</v>
      </c>
      <c r="C156" s="3">
        <v>5</v>
      </c>
      <c r="D156" s="3">
        <v>1</v>
      </c>
      <c r="E156" s="2" t="s">
        <v>398</v>
      </c>
      <c r="F156" s="3">
        <v>3</v>
      </c>
      <c r="G156" s="4" t="s">
        <v>515</v>
      </c>
      <c r="H156" s="4"/>
      <c r="I156" s="4"/>
      <c r="J156" s="4"/>
      <c r="K156" s="4"/>
      <c r="L156" s="3">
        <f t="shared" si="4"/>
        <v>3</v>
      </c>
      <c r="M156" s="4"/>
      <c r="N156" s="4"/>
      <c r="O156" s="4"/>
      <c r="P156" s="4"/>
      <c r="Q156" s="4"/>
      <c r="R156" s="4"/>
      <c r="S156" s="3">
        <f t="shared" si="5"/>
        <v>0</v>
      </c>
      <c r="T156" s="5"/>
    </row>
    <row r="157" spans="1:20" ht="28.5" x14ac:dyDescent="0.25">
      <c r="A157" s="3" t="s">
        <v>267</v>
      </c>
      <c r="B157" s="3" t="s">
        <v>258</v>
      </c>
      <c r="C157" s="3">
        <v>5</v>
      </c>
      <c r="D157" s="3">
        <v>2</v>
      </c>
      <c r="E157" s="2" t="s">
        <v>432</v>
      </c>
      <c r="F157" s="3">
        <v>4</v>
      </c>
      <c r="G157" s="4" t="s">
        <v>514</v>
      </c>
      <c r="H157" s="4"/>
      <c r="I157" s="4"/>
      <c r="J157" s="4">
        <v>1</v>
      </c>
      <c r="K157" s="4"/>
      <c r="L157" s="3">
        <f t="shared" si="4"/>
        <v>3</v>
      </c>
      <c r="M157" s="4"/>
      <c r="N157" s="4"/>
      <c r="O157" s="4"/>
      <c r="P157" s="4"/>
      <c r="Q157" s="4"/>
      <c r="R157" s="4"/>
      <c r="S157" s="3">
        <f t="shared" si="5"/>
        <v>0</v>
      </c>
      <c r="T157" s="5"/>
    </row>
    <row r="158" spans="1:20" x14ac:dyDescent="0.25">
      <c r="A158" s="3" t="s">
        <v>267</v>
      </c>
      <c r="B158" s="3" t="s">
        <v>258</v>
      </c>
      <c r="C158" s="3">
        <v>5</v>
      </c>
      <c r="D158" s="3">
        <v>3</v>
      </c>
      <c r="E158" s="2" t="s">
        <v>400</v>
      </c>
      <c r="F158" s="3">
        <v>3</v>
      </c>
      <c r="G158" s="4" t="s">
        <v>515</v>
      </c>
      <c r="H158" s="4"/>
      <c r="I158" s="4"/>
      <c r="J158" s="4"/>
      <c r="K158" s="4"/>
      <c r="L158" s="3">
        <f t="shared" si="4"/>
        <v>3</v>
      </c>
      <c r="M158" s="4"/>
      <c r="N158" s="4"/>
      <c r="O158" s="4"/>
      <c r="P158" s="4"/>
      <c r="Q158" s="4"/>
      <c r="R158" s="4"/>
      <c r="S158" s="3">
        <f t="shared" si="5"/>
        <v>0</v>
      </c>
      <c r="T158" s="5"/>
    </row>
    <row r="159" spans="1:20" x14ac:dyDescent="0.25">
      <c r="A159" s="3" t="s">
        <v>267</v>
      </c>
      <c r="B159" s="3" t="s">
        <v>258</v>
      </c>
      <c r="C159" s="3">
        <v>5</v>
      </c>
      <c r="D159" s="3">
        <v>4</v>
      </c>
      <c r="E159" s="2" t="s">
        <v>401</v>
      </c>
      <c r="F159" s="3">
        <v>4</v>
      </c>
      <c r="G159" s="4" t="s">
        <v>515</v>
      </c>
      <c r="H159" s="4"/>
      <c r="I159" s="4"/>
      <c r="J159" s="4"/>
      <c r="K159" s="4"/>
      <c r="L159" s="3">
        <f t="shared" si="4"/>
        <v>4</v>
      </c>
      <c r="M159" s="4"/>
      <c r="N159" s="4"/>
      <c r="O159" s="4"/>
      <c r="P159" s="4"/>
      <c r="Q159" s="4"/>
      <c r="R159" s="4"/>
      <c r="S159" s="3">
        <f t="shared" si="5"/>
        <v>0</v>
      </c>
      <c r="T159" s="5"/>
    </row>
    <row r="160" spans="1:20" x14ac:dyDescent="0.25">
      <c r="A160" s="3" t="s">
        <v>267</v>
      </c>
      <c r="B160" s="3" t="s">
        <v>258</v>
      </c>
      <c r="C160" s="3">
        <v>5</v>
      </c>
      <c r="D160" s="3">
        <v>5</v>
      </c>
      <c r="E160" s="2" t="s">
        <v>411</v>
      </c>
      <c r="F160" s="3">
        <v>3</v>
      </c>
      <c r="G160" s="4" t="s">
        <v>515</v>
      </c>
      <c r="H160" s="4"/>
      <c r="I160" s="4"/>
      <c r="J160" s="4"/>
      <c r="K160" s="4"/>
      <c r="L160" s="3">
        <f t="shared" si="4"/>
        <v>3</v>
      </c>
      <c r="M160" s="4"/>
      <c r="N160" s="4"/>
      <c r="O160" s="4"/>
      <c r="P160" s="4"/>
      <c r="Q160" s="4"/>
      <c r="R160" s="4"/>
      <c r="S160" s="3">
        <f t="shared" si="5"/>
        <v>0</v>
      </c>
      <c r="T160" s="5"/>
    </row>
    <row r="161" spans="1:20" x14ac:dyDescent="0.25">
      <c r="A161" s="3" t="s">
        <v>267</v>
      </c>
      <c r="B161" s="3" t="s">
        <v>258</v>
      </c>
      <c r="C161" s="3">
        <v>5</v>
      </c>
      <c r="D161" s="3">
        <v>6</v>
      </c>
      <c r="E161" s="2" t="s">
        <v>403</v>
      </c>
      <c r="F161" s="3">
        <v>3</v>
      </c>
      <c r="G161" s="4" t="s">
        <v>515</v>
      </c>
      <c r="H161" s="4"/>
      <c r="I161" s="4"/>
      <c r="J161" s="4"/>
      <c r="K161" s="4"/>
      <c r="L161" s="3">
        <f t="shared" si="4"/>
        <v>3</v>
      </c>
      <c r="M161" s="4"/>
      <c r="N161" s="4"/>
      <c r="O161" s="4"/>
      <c r="P161" s="4"/>
      <c r="Q161" s="4"/>
      <c r="R161" s="4"/>
      <c r="S161" s="3">
        <f t="shared" si="5"/>
        <v>0</v>
      </c>
      <c r="T161" s="5"/>
    </row>
    <row r="162" spans="1:20" x14ac:dyDescent="0.25">
      <c r="A162" s="3" t="s">
        <v>267</v>
      </c>
      <c r="B162" s="3" t="s">
        <v>258</v>
      </c>
      <c r="C162" s="3">
        <v>5</v>
      </c>
      <c r="D162" s="3">
        <v>7</v>
      </c>
      <c r="E162" s="2" t="s">
        <v>404</v>
      </c>
      <c r="F162" s="3">
        <v>3</v>
      </c>
      <c r="G162" s="4" t="s">
        <v>515</v>
      </c>
      <c r="H162" s="4"/>
      <c r="I162" s="4"/>
      <c r="J162" s="4"/>
      <c r="K162" s="4"/>
      <c r="L162" s="3">
        <f t="shared" si="4"/>
        <v>3</v>
      </c>
      <c r="M162" s="4"/>
      <c r="N162" s="4"/>
      <c r="O162" s="4"/>
      <c r="P162" s="4"/>
      <c r="Q162" s="4"/>
      <c r="R162" s="4"/>
      <c r="S162" s="3">
        <f t="shared" si="5"/>
        <v>0</v>
      </c>
      <c r="T162" s="5"/>
    </row>
    <row r="163" spans="1:20" x14ac:dyDescent="0.25">
      <c r="A163" s="3" t="s">
        <v>267</v>
      </c>
      <c r="B163" s="3" t="s">
        <v>258</v>
      </c>
      <c r="C163" s="3">
        <v>5</v>
      </c>
      <c r="D163" s="3">
        <v>8</v>
      </c>
      <c r="E163" s="2" t="s">
        <v>405</v>
      </c>
      <c r="F163" s="3">
        <v>4</v>
      </c>
      <c r="G163" s="4" t="s">
        <v>515</v>
      </c>
      <c r="H163" s="4"/>
      <c r="I163" s="4"/>
      <c r="J163" s="4"/>
      <c r="K163" s="4"/>
      <c r="L163" s="3">
        <f t="shared" si="4"/>
        <v>4</v>
      </c>
      <c r="M163" s="4"/>
      <c r="N163" s="4"/>
      <c r="O163" s="4"/>
      <c r="P163" s="4"/>
      <c r="Q163" s="4"/>
      <c r="R163" s="4"/>
      <c r="S163" s="3">
        <f t="shared" si="5"/>
        <v>0</v>
      </c>
      <c r="T163" s="5"/>
    </row>
    <row r="164" spans="1:20" ht="28.5" x14ac:dyDescent="0.25">
      <c r="A164" s="3" t="s">
        <v>267</v>
      </c>
      <c r="B164" s="3" t="s">
        <v>258</v>
      </c>
      <c r="C164" s="3">
        <v>5</v>
      </c>
      <c r="D164" s="3">
        <v>9</v>
      </c>
      <c r="E164" s="2" t="s">
        <v>433</v>
      </c>
      <c r="F164" s="3">
        <v>6</v>
      </c>
      <c r="G164" s="4" t="s">
        <v>514</v>
      </c>
      <c r="H164" s="4"/>
      <c r="I164" s="4">
        <v>1</v>
      </c>
      <c r="J164" s="4"/>
      <c r="K164" s="4"/>
      <c r="L164" s="3">
        <f t="shared" si="4"/>
        <v>5</v>
      </c>
      <c r="M164" s="4"/>
      <c r="N164" s="4"/>
      <c r="O164" s="4"/>
      <c r="P164" s="4"/>
      <c r="Q164" s="4"/>
      <c r="R164" s="4"/>
      <c r="S164" s="3">
        <f t="shared" si="5"/>
        <v>0</v>
      </c>
      <c r="T164" s="5" t="s">
        <v>517</v>
      </c>
    </row>
    <row r="165" spans="1:20" ht="28.5" x14ac:dyDescent="0.25">
      <c r="A165" s="3" t="s">
        <v>267</v>
      </c>
      <c r="B165" s="3" t="s">
        <v>258</v>
      </c>
      <c r="C165" s="3">
        <v>5</v>
      </c>
      <c r="D165" s="3">
        <v>10</v>
      </c>
      <c r="E165" s="2" t="s">
        <v>434</v>
      </c>
      <c r="F165" s="3">
        <v>8</v>
      </c>
      <c r="G165" s="4" t="s">
        <v>515</v>
      </c>
      <c r="H165" s="4"/>
      <c r="I165" s="4"/>
      <c r="J165" s="4"/>
      <c r="K165" s="4"/>
      <c r="L165" s="3">
        <f t="shared" si="4"/>
        <v>8</v>
      </c>
      <c r="M165" s="4"/>
      <c r="N165" s="4"/>
      <c r="O165" s="4"/>
      <c r="P165" s="4"/>
      <c r="Q165" s="4"/>
      <c r="R165" s="4"/>
      <c r="S165" s="3">
        <f t="shared" si="5"/>
        <v>0</v>
      </c>
      <c r="T165" s="5"/>
    </row>
    <row r="166" spans="1:20" ht="28.5" x14ac:dyDescent="0.25">
      <c r="A166" s="3" t="s">
        <v>267</v>
      </c>
      <c r="B166" s="3" t="s">
        <v>258</v>
      </c>
      <c r="C166" s="3">
        <v>5</v>
      </c>
      <c r="D166" s="3">
        <v>11</v>
      </c>
      <c r="E166" s="2" t="s">
        <v>408</v>
      </c>
      <c r="F166" s="3">
        <v>11</v>
      </c>
      <c r="G166" s="4" t="s">
        <v>515</v>
      </c>
      <c r="H166" s="4"/>
      <c r="I166" s="4"/>
      <c r="J166" s="4"/>
      <c r="K166" s="4"/>
      <c r="L166" s="3">
        <f t="shared" si="4"/>
        <v>11</v>
      </c>
      <c r="M166" s="4"/>
      <c r="N166" s="4"/>
      <c r="O166" s="4"/>
      <c r="P166" s="4"/>
      <c r="Q166" s="4"/>
      <c r="R166" s="4"/>
      <c r="S166" s="3">
        <f t="shared" si="5"/>
        <v>0</v>
      </c>
      <c r="T166" s="5"/>
    </row>
    <row r="167" spans="1:20" ht="42.75" x14ac:dyDescent="0.25">
      <c r="A167" s="3" t="s">
        <v>269</v>
      </c>
      <c r="B167" s="3" t="s">
        <v>270</v>
      </c>
      <c r="C167" s="3">
        <v>1</v>
      </c>
      <c r="D167" s="3">
        <v>1</v>
      </c>
      <c r="E167" s="2" t="s">
        <v>272</v>
      </c>
      <c r="F167" s="3">
        <v>13</v>
      </c>
      <c r="G167" s="4" t="s">
        <v>514</v>
      </c>
      <c r="H167" s="4">
        <v>4</v>
      </c>
      <c r="I167" s="4">
        <v>2</v>
      </c>
      <c r="J167" s="4">
        <v>2</v>
      </c>
      <c r="K167" s="4"/>
      <c r="L167" s="3">
        <f t="shared" si="4"/>
        <v>5</v>
      </c>
      <c r="M167" s="4"/>
      <c r="N167" s="4"/>
      <c r="O167" s="4"/>
      <c r="P167" s="4"/>
      <c r="Q167" s="4"/>
      <c r="R167" s="4"/>
      <c r="S167" s="3">
        <f t="shared" si="5"/>
        <v>0</v>
      </c>
      <c r="T167" s="5"/>
    </row>
    <row r="168" spans="1:20" ht="71.25" x14ac:dyDescent="0.25">
      <c r="A168" s="3" t="s">
        <v>273</v>
      </c>
      <c r="B168" s="3" t="s">
        <v>270</v>
      </c>
      <c r="C168" s="3">
        <v>2</v>
      </c>
      <c r="D168" s="3">
        <v>1</v>
      </c>
      <c r="E168" s="2" t="s">
        <v>435</v>
      </c>
      <c r="F168" s="3">
        <v>24</v>
      </c>
      <c r="G168" s="4" t="s">
        <v>514</v>
      </c>
      <c r="H168" s="4">
        <v>5</v>
      </c>
      <c r="I168" s="4">
        <v>4</v>
      </c>
      <c r="J168" s="4">
        <v>1</v>
      </c>
      <c r="K168" s="4"/>
      <c r="L168" s="3">
        <f t="shared" si="4"/>
        <v>14</v>
      </c>
      <c r="M168" s="4"/>
      <c r="N168" s="4"/>
      <c r="O168" s="4"/>
      <c r="P168" s="4"/>
      <c r="Q168" s="4"/>
      <c r="R168" s="4"/>
      <c r="S168" s="3">
        <f t="shared" si="5"/>
        <v>0</v>
      </c>
      <c r="T168" s="5"/>
    </row>
    <row r="169" spans="1:20" ht="28.5" x14ac:dyDescent="0.25">
      <c r="A169" s="3" t="s">
        <v>273</v>
      </c>
      <c r="B169" s="3" t="s">
        <v>270</v>
      </c>
      <c r="C169" s="3">
        <v>2</v>
      </c>
      <c r="D169" s="3">
        <v>2</v>
      </c>
      <c r="E169" s="2" t="s">
        <v>436</v>
      </c>
      <c r="F169" s="3">
        <v>12</v>
      </c>
      <c r="G169" s="4" t="s">
        <v>514</v>
      </c>
      <c r="H169" s="4"/>
      <c r="I169" s="4"/>
      <c r="J169" s="4">
        <v>1</v>
      </c>
      <c r="K169" s="4">
        <v>1</v>
      </c>
      <c r="L169" s="3">
        <f t="shared" si="4"/>
        <v>10</v>
      </c>
      <c r="M169" s="4"/>
      <c r="N169" s="4">
        <v>1</v>
      </c>
      <c r="O169" s="4"/>
      <c r="P169" s="4"/>
      <c r="Q169" s="4"/>
      <c r="R169" s="4"/>
      <c r="S169" s="3">
        <f t="shared" si="5"/>
        <v>1</v>
      </c>
      <c r="T169" s="5"/>
    </row>
    <row r="170" spans="1:20" ht="42.75" x14ac:dyDescent="0.25">
      <c r="A170" s="3" t="s">
        <v>276</v>
      </c>
      <c r="B170" s="3" t="s">
        <v>270</v>
      </c>
      <c r="C170" s="3">
        <v>3</v>
      </c>
      <c r="D170" s="3">
        <v>1</v>
      </c>
      <c r="E170" s="2" t="s">
        <v>437</v>
      </c>
      <c r="F170" s="3">
        <v>12</v>
      </c>
      <c r="G170" s="4" t="s">
        <v>514</v>
      </c>
      <c r="H170" s="4">
        <v>3</v>
      </c>
      <c r="I170" s="4"/>
      <c r="J170" s="4">
        <v>1</v>
      </c>
      <c r="K170" s="4">
        <v>1</v>
      </c>
      <c r="L170" s="3">
        <f t="shared" si="4"/>
        <v>7</v>
      </c>
      <c r="M170" s="4"/>
      <c r="N170" s="4">
        <v>1</v>
      </c>
      <c r="O170" s="4"/>
      <c r="P170" s="4"/>
      <c r="Q170" s="4"/>
      <c r="R170" s="4"/>
      <c r="S170" s="3">
        <f t="shared" si="5"/>
        <v>1</v>
      </c>
      <c r="T170" s="5"/>
    </row>
    <row r="171" spans="1:20" ht="28.5" x14ac:dyDescent="0.25">
      <c r="A171" s="3" t="s">
        <v>276</v>
      </c>
      <c r="B171" s="3" t="s">
        <v>270</v>
      </c>
      <c r="C171" s="3">
        <v>3</v>
      </c>
      <c r="D171" s="3">
        <v>2</v>
      </c>
      <c r="E171" s="2" t="s">
        <v>438</v>
      </c>
      <c r="F171" s="3">
        <v>11</v>
      </c>
      <c r="G171" s="4" t="s">
        <v>514</v>
      </c>
      <c r="H171" s="4"/>
      <c r="I171" s="4"/>
      <c r="J171" s="4">
        <v>1</v>
      </c>
      <c r="K171" s="4"/>
      <c r="L171" s="3">
        <f t="shared" si="4"/>
        <v>10</v>
      </c>
      <c r="M171" s="4"/>
      <c r="N171" s="4"/>
      <c r="O171" s="4"/>
      <c r="P171" s="4"/>
      <c r="Q171" s="4"/>
      <c r="R171" s="4"/>
      <c r="S171" s="3">
        <f t="shared" si="5"/>
        <v>0</v>
      </c>
      <c r="T171" s="5"/>
    </row>
    <row r="172" spans="1:20" ht="85.5" x14ac:dyDescent="0.25">
      <c r="A172" s="3" t="s">
        <v>278</v>
      </c>
      <c r="B172" s="3" t="s">
        <v>270</v>
      </c>
      <c r="C172" s="3">
        <v>4</v>
      </c>
      <c r="D172" s="3">
        <v>1</v>
      </c>
      <c r="E172" s="2" t="s">
        <v>439</v>
      </c>
      <c r="F172" s="3">
        <v>25</v>
      </c>
      <c r="G172" s="4" t="s">
        <v>514</v>
      </c>
      <c r="H172" s="4">
        <v>3</v>
      </c>
      <c r="I172" s="4"/>
      <c r="J172" s="4">
        <v>1</v>
      </c>
      <c r="K172" s="4"/>
      <c r="L172" s="3">
        <f t="shared" si="4"/>
        <v>21</v>
      </c>
      <c r="M172" s="4"/>
      <c r="N172" s="4"/>
      <c r="O172" s="4"/>
      <c r="P172" s="4"/>
      <c r="Q172" s="4"/>
      <c r="R172" s="4"/>
      <c r="S172" s="3">
        <f t="shared" si="5"/>
        <v>0</v>
      </c>
      <c r="T172" s="5"/>
    </row>
    <row r="173" spans="1:20" ht="28.5" x14ac:dyDescent="0.25">
      <c r="A173" s="3" t="s">
        <v>278</v>
      </c>
      <c r="B173" s="3" t="s">
        <v>270</v>
      </c>
      <c r="C173" s="3">
        <v>4</v>
      </c>
      <c r="D173" s="3">
        <v>2</v>
      </c>
      <c r="E173" s="2" t="s">
        <v>440</v>
      </c>
      <c r="F173" s="3">
        <v>13</v>
      </c>
      <c r="G173" s="4" t="s">
        <v>514</v>
      </c>
      <c r="H173" s="4">
        <v>4</v>
      </c>
      <c r="I173" s="4"/>
      <c r="J173" s="4">
        <v>1</v>
      </c>
      <c r="K173" s="4"/>
      <c r="L173" s="3">
        <f t="shared" si="4"/>
        <v>8</v>
      </c>
      <c r="M173" s="4"/>
      <c r="N173" s="4"/>
      <c r="O173" s="4"/>
      <c r="P173" s="4"/>
      <c r="Q173" s="4"/>
      <c r="R173" s="4"/>
      <c r="S173" s="3">
        <f t="shared" si="5"/>
        <v>0</v>
      </c>
      <c r="T173" s="5"/>
    </row>
    <row r="174" spans="1:20" ht="28.5" x14ac:dyDescent="0.25">
      <c r="A174" s="3" t="s">
        <v>280</v>
      </c>
      <c r="B174" s="3" t="s">
        <v>270</v>
      </c>
      <c r="C174" s="3">
        <v>5</v>
      </c>
      <c r="D174" s="3">
        <v>1</v>
      </c>
      <c r="E174" s="2" t="s">
        <v>281</v>
      </c>
      <c r="F174" s="3">
        <v>2</v>
      </c>
      <c r="G174" s="4" t="s">
        <v>514</v>
      </c>
      <c r="H174" s="4">
        <v>2</v>
      </c>
      <c r="I174" s="4"/>
      <c r="J174" s="4"/>
      <c r="K174" s="4"/>
      <c r="L174" s="3">
        <f t="shared" si="4"/>
        <v>0</v>
      </c>
      <c r="M174" s="4"/>
      <c r="N174" s="4"/>
      <c r="O174" s="4"/>
      <c r="P174" s="4"/>
      <c r="Q174" s="4"/>
      <c r="R174" s="4"/>
      <c r="S174" s="3">
        <f t="shared" si="5"/>
        <v>0</v>
      </c>
      <c r="T174" s="5"/>
    </row>
    <row r="175" spans="1:20" x14ac:dyDescent="0.25">
      <c r="A175" s="3" t="s">
        <v>282</v>
      </c>
      <c r="B175" s="3" t="s">
        <v>283</v>
      </c>
      <c r="C175" s="3">
        <v>1</v>
      </c>
      <c r="D175" s="3">
        <v>1</v>
      </c>
      <c r="E175" s="2" t="s">
        <v>285</v>
      </c>
      <c r="F175" s="3">
        <v>2</v>
      </c>
      <c r="G175" s="4" t="s">
        <v>515</v>
      </c>
      <c r="H175" s="4"/>
      <c r="I175" s="4"/>
      <c r="J175" s="4"/>
      <c r="K175" s="4"/>
      <c r="L175" s="3">
        <f t="shared" si="4"/>
        <v>2</v>
      </c>
      <c r="M175" s="4"/>
      <c r="N175" s="4"/>
      <c r="O175" s="4"/>
      <c r="P175" s="4"/>
      <c r="Q175" s="4"/>
      <c r="R175" s="4"/>
      <c r="S175" s="3">
        <f t="shared" si="5"/>
        <v>0</v>
      </c>
      <c r="T175" s="5"/>
    </row>
    <row r="176" spans="1:20" x14ac:dyDescent="0.25">
      <c r="A176" s="3" t="s">
        <v>286</v>
      </c>
      <c r="B176" s="3" t="s">
        <v>283</v>
      </c>
      <c r="C176" s="3">
        <v>2</v>
      </c>
      <c r="D176" s="3">
        <v>1</v>
      </c>
      <c r="E176" s="2" t="s">
        <v>441</v>
      </c>
      <c r="F176" s="3">
        <v>4</v>
      </c>
      <c r="G176" s="4" t="s">
        <v>515</v>
      </c>
      <c r="H176" s="4"/>
      <c r="I176" s="4"/>
      <c r="J176" s="4"/>
      <c r="K176" s="4"/>
      <c r="L176" s="3">
        <f t="shared" si="4"/>
        <v>4</v>
      </c>
      <c r="M176" s="4"/>
      <c r="N176" s="4"/>
      <c r="O176" s="4"/>
      <c r="P176" s="4"/>
      <c r="Q176" s="4"/>
      <c r="R176" s="4"/>
      <c r="S176" s="3">
        <f t="shared" si="5"/>
        <v>0</v>
      </c>
      <c r="T176" s="5"/>
    </row>
    <row r="177" spans="1:20" ht="42.75" x14ac:dyDescent="0.25">
      <c r="A177" s="3" t="s">
        <v>286</v>
      </c>
      <c r="B177" s="3" t="s">
        <v>283</v>
      </c>
      <c r="C177" s="3">
        <v>2</v>
      </c>
      <c r="D177" s="3">
        <v>2</v>
      </c>
      <c r="E177" s="2" t="s">
        <v>442</v>
      </c>
      <c r="F177" s="3">
        <v>10</v>
      </c>
      <c r="G177" s="4" t="s">
        <v>514</v>
      </c>
      <c r="H177" s="4">
        <v>1</v>
      </c>
      <c r="I177" s="4"/>
      <c r="J177" s="4"/>
      <c r="K177" s="4"/>
      <c r="L177" s="3">
        <f t="shared" si="4"/>
        <v>9</v>
      </c>
      <c r="M177" s="4"/>
      <c r="N177" s="4"/>
      <c r="O177" s="4"/>
      <c r="P177" s="4"/>
      <c r="Q177" s="4"/>
      <c r="R177" s="4"/>
      <c r="S177" s="3">
        <f t="shared" si="5"/>
        <v>0</v>
      </c>
      <c r="T177" s="5"/>
    </row>
    <row r="178" spans="1:20" ht="42.75" x14ac:dyDescent="0.25">
      <c r="A178" s="3" t="s">
        <v>286</v>
      </c>
      <c r="B178" s="3" t="s">
        <v>283</v>
      </c>
      <c r="C178" s="3">
        <v>2</v>
      </c>
      <c r="D178" s="3">
        <v>3</v>
      </c>
      <c r="E178" s="2" t="s">
        <v>443</v>
      </c>
      <c r="F178" s="3">
        <v>10</v>
      </c>
      <c r="G178" s="4" t="s">
        <v>514</v>
      </c>
      <c r="H178" s="4">
        <v>4</v>
      </c>
      <c r="I178" s="4"/>
      <c r="J178" s="4"/>
      <c r="K178" s="4"/>
      <c r="L178" s="3">
        <f t="shared" si="4"/>
        <v>6</v>
      </c>
      <c r="M178" s="4"/>
      <c r="N178" s="4"/>
      <c r="O178" s="4"/>
      <c r="P178" s="4"/>
      <c r="Q178" s="4"/>
      <c r="R178" s="4"/>
      <c r="S178" s="3">
        <f t="shared" si="5"/>
        <v>0</v>
      </c>
      <c r="T178" s="5" t="s">
        <v>518</v>
      </c>
    </row>
    <row r="179" spans="1:20" ht="28.5" x14ac:dyDescent="0.25">
      <c r="A179" s="3" t="s">
        <v>286</v>
      </c>
      <c r="B179" s="3" t="s">
        <v>283</v>
      </c>
      <c r="C179" s="3">
        <v>2</v>
      </c>
      <c r="D179" s="3">
        <v>4</v>
      </c>
      <c r="E179" s="2" t="s">
        <v>444</v>
      </c>
      <c r="F179" s="3">
        <v>5</v>
      </c>
      <c r="G179" s="4" t="s">
        <v>514</v>
      </c>
      <c r="H179" s="4"/>
      <c r="I179" s="4">
        <v>2</v>
      </c>
      <c r="J179" s="4"/>
      <c r="K179" s="4"/>
      <c r="L179" s="3">
        <f t="shared" si="4"/>
        <v>3</v>
      </c>
      <c r="M179" s="4"/>
      <c r="N179" s="4"/>
      <c r="O179" s="4"/>
      <c r="P179" s="4"/>
      <c r="Q179" s="4"/>
      <c r="R179" s="4"/>
      <c r="S179" s="3">
        <f t="shared" si="5"/>
        <v>0</v>
      </c>
      <c r="T179" s="5"/>
    </row>
    <row r="180" spans="1:20" ht="28.5" x14ac:dyDescent="0.25">
      <c r="A180" s="3" t="s">
        <v>288</v>
      </c>
      <c r="B180" s="3" t="s">
        <v>283</v>
      </c>
      <c r="C180" s="3">
        <v>3</v>
      </c>
      <c r="D180" s="3">
        <v>1</v>
      </c>
      <c r="E180" s="2" t="s">
        <v>445</v>
      </c>
      <c r="F180" s="3">
        <v>5</v>
      </c>
      <c r="G180" s="4" t="s">
        <v>514</v>
      </c>
      <c r="H180" s="4">
        <v>1</v>
      </c>
      <c r="I180" s="4"/>
      <c r="J180" s="4">
        <v>1</v>
      </c>
      <c r="K180" s="4"/>
      <c r="L180" s="3">
        <f t="shared" si="4"/>
        <v>3</v>
      </c>
      <c r="M180" s="4"/>
      <c r="N180" s="4"/>
      <c r="O180" s="4"/>
      <c r="P180" s="4"/>
      <c r="Q180" s="4"/>
      <c r="R180" s="4"/>
      <c r="S180" s="3">
        <f t="shared" si="5"/>
        <v>0</v>
      </c>
      <c r="T180" s="5"/>
    </row>
    <row r="181" spans="1:20" ht="57" x14ac:dyDescent="0.25">
      <c r="A181" s="3" t="s">
        <v>288</v>
      </c>
      <c r="B181" s="3" t="s">
        <v>283</v>
      </c>
      <c r="C181" s="3">
        <v>3</v>
      </c>
      <c r="D181" s="3">
        <v>2</v>
      </c>
      <c r="E181" s="2" t="s">
        <v>446</v>
      </c>
      <c r="F181" s="3">
        <v>9</v>
      </c>
      <c r="G181" s="4" t="s">
        <v>514</v>
      </c>
      <c r="H181" s="4">
        <v>3</v>
      </c>
      <c r="I181" s="4"/>
      <c r="J181" s="4"/>
      <c r="K181" s="4"/>
      <c r="L181" s="3">
        <f t="shared" si="4"/>
        <v>6</v>
      </c>
      <c r="M181" s="4"/>
      <c r="N181" s="4"/>
      <c r="O181" s="4"/>
      <c r="P181" s="4"/>
      <c r="Q181" s="4"/>
      <c r="R181" s="4"/>
      <c r="S181" s="3">
        <f t="shared" si="5"/>
        <v>0</v>
      </c>
      <c r="T181" s="5" t="s">
        <v>519</v>
      </c>
    </row>
    <row r="182" spans="1:20" ht="28.5" x14ac:dyDescent="0.25">
      <c r="A182" s="3" t="s">
        <v>288</v>
      </c>
      <c r="B182" s="3" t="s">
        <v>283</v>
      </c>
      <c r="C182" s="3">
        <v>3</v>
      </c>
      <c r="D182" s="3">
        <v>3</v>
      </c>
      <c r="E182" s="2" t="s">
        <v>447</v>
      </c>
      <c r="F182" s="3">
        <v>9</v>
      </c>
      <c r="G182" s="4" t="s">
        <v>514</v>
      </c>
      <c r="H182" s="4"/>
      <c r="I182" s="4">
        <v>1</v>
      </c>
      <c r="J182" s="4"/>
      <c r="K182" s="4"/>
      <c r="L182" s="3">
        <f t="shared" si="4"/>
        <v>8</v>
      </c>
      <c r="M182" s="4"/>
      <c r="N182" s="4"/>
      <c r="O182" s="4"/>
      <c r="P182" s="4"/>
      <c r="Q182" s="4"/>
      <c r="R182" s="4"/>
      <c r="S182" s="3">
        <f t="shared" si="5"/>
        <v>0</v>
      </c>
      <c r="T182" s="5"/>
    </row>
    <row r="183" spans="1:20" ht="42.75" x14ac:dyDescent="0.25">
      <c r="A183" s="3" t="s">
        <v>288</v>
      </c>
      <c r="B183" s="3" t="s">
        <v>283</v>
      </c>
      <c r="C183" s="3">
        <v>3</v>
      </c>
      <c r="D183" s="3">
        <v>4</v>
      </c>
      <c r="E183" s="2" t="s">
        <v>448</v>
      </c>
      <c r="F183" s="3">
        <v>12</v>
      </c>
      <c r="G183" s="4" t="s">
        <v>514</v>
      </c>
      <c r="H183" s="4">
        <v>1</v>
      </c>
      <c r="I183" s="4"/>
      <c r="J183" s="4"/>
      <c r="K183" s="4"/>
      <c r="L183" s="3">
        <f t="shared" si="4"/>
        <v>11</v>
      </c>
      <c r="M183" s="4"/>
      <c r="N183" s="4"/>
      <c r="O183" s="4"/>
      <c r="P183" s="4"/>
      <c r="Q183" s="4"/>
      <c r="R183" s="4"/>
      <c r="S183" s="3">
        <f t="shared" si="5"/>
        <v>0</v>
      </c>
      <c r="T183" s="5"/>
    </row>
    <row r="184" spans="1:20" ht="28.5" x14ac:dyDescent="0.25">
      <c r="A184" s="3" t="s">
        <v>288</v>
      </c>
      <c r="B184" s="3" t="s">
        <v>283</v>
      </c>
      <c r="C184" s="3">
        <v>3</v>
      </c>
      <c r="D184" s="3">
        <v>5</v>
      </c>
      <c r="E184" s="2" t="s">
        <v>449</v>
      </c>
      <c r="F184" s="3">
        <v>13</v>
      </c>
      <c r="G184" s="4" t="s">
        <v>514</v>
      </c>
      <c r="H184" s="4">
        <v>1</v>
      </c>
      <c r="I184" s="4"/>
      <c r="J184" s="4"/>
      <c r="K184" s="4"/>
      <c r="L184" s="3">
        <f t="shared" si="4"/>
        <v>12</v>
      </c>
      <c r="M184" s="4"/>
      <c r="N184" s="4"/>
      <c r="O184" s="4"/>
      <c r="P184" s="4"/>
      <c r="Q184" s="4"/>
      <c r="R184" s="4"/>
      <c r="S184" s="3">
        <f t="shared" si="5"/>
        <v>0</v>
      </c>
      <c r="T184" s="5"/>
    </row>
    <row r="185" spans="1:20" ht="28.5" x14ac:dyDescent="0.25">
      <c r="A185" s="3" t="s">
        <v>288</v>
      </c>
      <c r="B185" s="3" t="s">
        <v>283</v>
      </c>
      <c r="C185" s="3">
        <v>3</v>
      </c>
      <c r="D185" s="3">
        <v>6</v>
      </c>
      <c r="E185" s="2" t="s">
        <v>450</v>
      </c>
      <c r="F185" s="3">
        <v>9</v>
      </c>
      <c r="G185" s="4" t="s">
        <v>514</v>
      </c>
      <c r="H185" s="4">
        <v>2</v>
      </c>
      <c r="I185" s="4">
        <v>1</v>
      </c>
      <c r="J185" s="4">
        <v>1</v>
      </c>
      <c r="K185" s="4"/>
      <c r="L185" s="3">
        <f t="shared" si="4"/>
        <v>5</v>
      </c>
      <c r="M185" s="4"/>
      <c r="N185" s="4"/>
      <c r="O185" s="4"/>
      <c r="P185" s="4"/>
      <c r="Q185" s="4"/>
      <c r="R185" s="4"/>
      <c r="S185" s="3">
        <f t="shared" si="5"/>
        <v>0</v>
      </c>
      <c r="T185" s="5"/>
    </row>
    <row r="186" spans="1:20" ht="28.5" x14ac:dyDescent="0.25">
      <c r="A186" s="3" t="s">
        <v>288</v>
      </c>
      <c r="B186" s="3" t="s">
        <v>283</v>
      </c>
      <c r="C186" s="3">
        <v>3</v>
      </c>
      <c r="D186" s="3">
        <v>7</v>
      </c>
      <c r="E186" s="2" t="s">
        <v>451</v>
      </c>
      <c r="F186" s="3">
        <v>6</v>
      </c>
      <c r="G186" s="4" t="s">
        <v>514</v>
      </c>
      <c r="H186" s="4">
        <v>2</v>
      </c>
      <c r="I186" s="4"/>
      <c r="J186" s="4"/>
      <c r="K186" s="4"/>
      <c r="L186" s="3">
        <f t="shared" si="4"/>
        <v>4</v>
      </c>
      <c r="M186" s="4"/>
      <c r="N186" s="4"/>
      <c r="O186" s="4"/>
      <c r="P186" s="4"/>
      <c r="Q186" s="4"/>
      <c r="R186" s="4"/>
      <c r="S186" s="3">
        <f t="shared" si="5"/>
        <v>0</v>
      </c>
      <c r="T186" s="5"/>
    </row>
    <row r="187" spans="1:20" x14ac:dyDescent="0.25">
      <c r="A187" s="3" t="s">
        <v>290</v>
      </c>
      <c r="B187" s="3" t="s">
        <v>283</v>
      </c>
      <c r="C187" s="3">
        <v>4</v>
      </c>
      <c r="D187" s="3">
        <v>1</v>
      </c>
      <c r="E187" s="2" t="s">
        <v>452</v>
      </c>
      <c r="F187" s="3">
        <v>3</v>
      </c>
      <c r="G187" s="4" t="s">
        <v>515</v>
      </c>
      <c r="H187" s="4"/>
      <c r="I187" s="4"/>
      <c r="J187" s="4"/>
      <c r="K187" s="4"/>
      <c r="L187" s="3">
        <f t="shared" si="4"/>
        <v>3</v>
      </c>
      <c r="M187" s="4"/>
      <c r="N187" s="4"/>
      <c r="O187" s="4"/>
      <c r="P187" s="4"/>
      <c r="Q187" s="4"/>
      <c r="R187" s="4"/>
      <c r="S187" s="3">
        <f t="shared" si="5"/>
        <v>0</v>
      </c>
      <c r="T187" s="5"/>
    </row>
    <row r="188" spans="1:20" x14ac:dyDescent="0.25">
      <c r="A188" s="3" t="s">
        <v>290</v>
      </c>
      <c r="B188" s="3" t="s">
        <v>283</v>
      </c>
      <c r="C188" s="3">
        <v>4</v>
      </c>
      <c r="D188" s="3">
        <v>2</v>
      </c>
      <c r="E188" s="2" t="s">
        <v>453</v>
      </c>
      <c r="F188" s="3">
        <v>1</v>
      </c>
      <c r="G188" s="4" t="s">
        <v>515</v>
      </c>
      <c r="H188" s="4"/>
      <c r="I188" s="4"/>
      <c r="J188" s="4"/>
      <c r="K188" s="4"/>
      <c r="L188" s="3">
        <f t="shared" si="4"/>
        <v>1</v>
      </c>
      <c r="M188" s="4"/>
      <c r="N188" s="4"/>
      <c r="O188" s="4"/>
      <c r="P188" s="4"/>
      <c r="Q188" s="4"/>
      <c r="R188" s="4"/>
      <c r="S188" s="3">
        <f t="shared" si="5"/>
        <v>0</v>
      </c>
      <c r="T188" s="5"/>
    </row>
    <row r="189" spans="1:20" ht="28.5" x14ac:dyDescent="0.25">
      <c r="A189" s="3" t="s">
        <v>290</v>
      </c>
      <c r="B189" s="3" t="s">
        <v>283</v>
      </c>
      <c r="C189" s="3">
        <v>4</v>
      </c>
      <c r="D189" s="3">
        <v>3</v>
      </c>
      <c r="E189" s="2" t="s">
        <v>454</v>
      </c>
      <c r="F189" s="3">
        <v>8</v>
      </c>
      <c r="G189" s="4" t="s">
        <v>514</v>
      </c>
      <c r="H189" s="4">
        <v>2</v>
      </c>
      <c r="I189" s="4"/>
      <c r="J189" s="4"/>
      <c r="K189" s="4"/>
      <c r="L189" s="3">
        <f t="shared" si="4"/>
        <v>6</v>
      </c>
      <c r="M189" s="4"/>
      <c r="N189" s="4"/>
      <c r="O189" s="4"/>
      <c r="P189" s="4"/>
      <c r="Q189" s="4"/>
      <c r="R189" s="4"/>
      <c r="S189" s="3">
        <f t="shared" si="5"/>
        <v>0</v>
      </c>
      <c r="T189" s="5"/>
    </row>
    <row r="190" spans="1:20" ht="28.5" x14ac:dyDescent="0.25">
      <c r="A190" s="3" t="s">
        <v>290</v>
      </c>
      <c r="B190" s="3" t="s">
        <v>283</v>
      </c>
      <c r="C190" s="3">
        <v>4</v>
      </c>
      <c r="D190" s="3">
        <v>4</v>
      </c>
      <c r="E190" s="2" t="s">
        <v>455</v>
      </c>
      <c r="F190" s="3">
        <v>7</v>
      </c>
      <c r="G190" s="4" t="s">
        <v>514</v>
      </c>
      <c r="H190" s="4">
        <v>4</v>
      </c>
      <c r="I190" s="4"/>
      <c r="J190" s="4"/>
      <c r="K190" s="4"/>
      <c r="L190" s="3">
        <f t="shared" si="4"/>
        <v>3</v>
      </c>
      <c r="M190" s="4"/>
      <c r="N190" s="4"/>
      <c r="O190" s="4"/>
      <c r="P190" s="4"/>
      <c r="Q190" s="4"/>
      <c r="R190" s="4"/>
      <c r="S190" s="3">
        <f t="shared" si="5"/>
        <v>0</v>
      </c>
      <c r="T190" s="5"/>
    </row>
    <row r="191" spans="1:20" ht="28.5" x14ac:dyDescent="0.25">
      <c r="A191" s="3" t="s">
        <v>290</v>
      </c>
      <c r="B191" s="3" t="s">
        <v>283</v>
      </c>
      <c r="C191" s="3">
        <v>4</v>
      </c>
      <c r="D191" s="3">
        <v>5</v>
      </c>
      <c r="E191" s="2" t="s">
        <v>456</v>
      </c>
      <c r="F191" s="3">
        <v>9</v>
      </c>
      <c r="G191" s="4" t="s">
        <v>514</v>
      </c>
      <c r="H191" s="4">
        <v>2</v>
      </c>
      <c r="I191" s="4"/>
      <c r="J191" s="4">
        <v>1</v>
      </c>
      <c r="K191" s="4"/>
      <c r="L191" s="3">
        <f t="shared" si="4"/>
        <v>6</v>
      </c>
      <c r="M191" s="4"/>
      <c r="N191" s="4"/>
      <c r="O191" s="4"/>
      <c r="P191" s="4"/>
      <c r="Q191" s="4"/>
      <c r="R191" s="4"/>
      <c r="S191" s="3">
        <f t="shared" si="5"/>
        <v>0</v>
      </c>
      <c r="T191" s="5"/>
    </row>
    <row r="192" spans="1:20" ht="28.5" x14ac:dyDescent="0.25">
      <c r="A192" s="3" t="s">
        <v>290</v>
      </c>
      <c r="B192" s="3" t="s">
        <v>283</v>
      </c>
      <c r="C192" s="3">
        <v>4</v>
      </c>
      <c r="D192" s="3">
        <v>6</v>
      </c>
      <c r="E192" s="2" t="s">
        <v>457</v>
      </c>
      <c r="F192" s="3">
        <v>7</v>
      </c>
      <c r="G192" s="4" t="s">
        <v>514</v>
      </c>
      <c r="H192" s="4">
        <v>3</v>
      </c>
      <c r="I192" s="4"/>
      <c r="J192" s="4"/>
      <c r="K192" s="4"/>
      <c r="L192" s="3">
        <f t="shared" si="4"/>
        <v>4</v>
      </c>
      <c r="M192" s="4"/>
      <c r="N192" s="4"/>
      <c r="O192" s="4"/>
      <c r="P192" s="4"/>
      <c r="Q192" s="4"/>
      <c r="R192" s="4"/>
      <c r="S192" s="3">
        <f t="shared" si="5"/>
        <v>0</v>
      </c>
      <c r="T192" s="5"/>
    </row>
    <row r="193" spans="1:20" ht="42.75" x14ac:dyDescent="0.25">
      <c r="A193" s="3" t="s">
        <v>290</v>
      </c>
      <c r="B193" s="3" t="s">
        <v>283</v>
      </c>
      <c r="C193" s="3">
        <v>4</v>
      </c>
      <c r="D193" s="3">
        <v>7</v>
      </c>
      <c r="E193" s="2" t="s">
        <v>458</v>
      </c>
      <c r="F193" s="3">
        <v>6</v>
      </c>
      <c r="G193" s="4" t="s">
        <v>514</v>
      </c>
      <c r="H193" s="4">
        <v>2</v>
      </c>
      <c r="I193" s="4"/>
      <c r="J193" s="4">
        <v>1</v>
      </c>
      <c r="K193" s="4"/>
      <c r="L193" s="3">
        <f t="shared" si="4"/>
        <v>3</v>
      </c>
      <c r="M193" s="4"/>
      <c r="N193" s="4"/>
      <c r="O193" s="4"/>
      <c r="P193" s="4"/>
      <c r="Q193" s="4"/>
      <c r="R193" s="4"/>
      <c r="S193" s="3">
        <f t="shared" si="5"/>
        <v>0</v>
      </c>
      <c r="T193" s="5" t="s">
        <v>520</v>
      </c>
    </row>
    <row r="194" spans="1:20" ht="42.75" x14ac:dyDescent="0.25">
      <c r="A194" s="3" t="s">
        <v>290</v>
      </c>
      <c r="B194" s="3" t="s">
        <v>283</v>
      </c>
      <c r="C194" s="3">
        <v>4</v>
      </c>
      <c r="D194" s="3">
        <v>8</v>
      </c>
      <c r="E194" s="2" t="s">
        <v>459</v>
      </c>
      <c r="F194" s="3">
        <v>13</v>
      </c>
      <c r="G194" s="4" t="s">
        <v>514</v>
      </c>
      <c r="H194" s="4">
        <v>3</v>
      </c>
      <c r="I194" s="4"/>
      <c r="J194" s="4"/>
      <c r="K194" s="4"/>
      <c r="L194" s="3">
        <f t="shared" ref="L194:L202" si="6">F194-(H194+I194+J194+K194)</f>
        <v>10</v>
      </c>
      <c r="M194" s="4"/>
      <c r="N194" s="4"/>
      <c r="O194" s="4"/>
      <c r="P194" s="4"/>
      <c r="Q194" s="4"/>
      <c r="R194" s="4"/>
      <c r="S194" s="3">
        <f t="shared" ref="S194:S202" si="7">N194+O194+P194+Q194+R194</f>
        <v>0</v>
      </c>
      <c r="T194" s="5"/>
    </row>
    <row r="195" spans="1:20" ht="42.75" x14ac:dyDescent="0.25">
      <c r="A195" s="3" t="s">
        <v>290</v>
      </c>
      <c r="B195" s="3" t="s">
        <v>283</v>
      </c>
      <c r="C195" s="3">
        <v>4</v>
      </c>
      <c r="D195" s="3">
        <v>9</v>
      </c>
      <c r="E195" s="2" t="s">
        <v>460</v>
      </c>
      <c r="F195" s="3">
        <v>19</v>
      </c>
      <c r="G195" s="4" t="s">
        <v>514</v>
      </c>
      <c r="H195" s="4">
        <v>1</v>
      </c>
      <c r="I195" s="4"/>
      <c r="J195" s="4">
        <v>1</v>
      </c>
      <c r="K195" s="4"/>
      <c r="L195" s="3">
        <f t="shared" si="6"/>
        <v>17</v>
      </c>
      <c r="M195" s="4"/>
      <c r="N195" s="4"/>
      <c r="O195" s="4"/>
      <c r="P195" s="4"/>
      <c r="Q195" s="4"/>
      <c r="R195" s="4"/>
      <c r="S195" s="3">
        <f t="shared" si="7"/>
        <v>0</v>
      </c>
      <c r="T195" s="5"/>
    </row>
    <row r="196" spans="1:20" x14ac:dyDescent="0.25">
      <c r="A196" s="3" t="s">
        <v>290</v>
      </c>
      <c r="B196" s="3" t="s">
        <v>283</v>
      </c>
      <c r="C196" s="3">
        <v>4</v>
      </c>
      <c r="D196" s="3">
        <v>10</v>
      </c>
      <c r="E196" s="2" t="s">
        <v>461</v>
      </c>
      <c r="F196" s="3">
        <v>3</v>
      </c>
      <c r="G196" s="4" t="s">
        <v>515</v>
      </c>
      <c r="H196" s="4"/>
      <c r="I196" s="4"/>
      <c r="J196" s="4"/>
      <c r="K196" s="4"/>
      <c r="L196" s="3">
        <f t="shared" si="6"/>
        <v>3</v>
      </c>
      <c r="M196" s="4"/>
      <c r="N196" s="4"/>
      <c r="O196" s="4"/>
      <c r="P196" s="4"/>
      <c r="Q196" s="4"/>
      <c r="R196" s="4"/>
      <c r="S196" s="3">
        <f t="shared" si="7"/>
        <v>0</v>
      </c>
      <c r="T196" s="5"/>
    </row>
    <row r="197" spans="1:20" x14ac:dyDescent="0.25">
      <c r="A197" s="3" t="s">
        <v>292</v>
      </c>
      <c r="B197" s="3" t="s">
        <v>283</v>
      </c>
      <c r="C197" s="3">
        <v>5</v>
      </c>
      <c r="D197" s="3">
        <v>1</v>
      </c>
      <c r="E197" s="2" t="s">
        <v>452</v>
      </c>
      <c r="F197" s="3">
        <v>3</v>
      </c>
      <c r="G197" s="4" t="s">
        <v>515</v>
      </c>
      <c r="H197" s="4"/>
      <c r="I197" s="4"/>
      <c r="J197" s="4"/>
      <c r="K197" s="4"/>
      <c r="L197" s="3">
        <f t="shared" si="6"/>
        <v>3</v>
      </c>
      <c r="M197" s="4"/>
      <c r="N197" s="4"/>
      <c r="O197" s="4"/>
      <c r="P197" s="4"/>
      <c r="Q197" s="4"/>
      <c r="R197" s="4"/>
      <c r="S197" s="3">
        <f t="shared" si="7"/>
        <v>0</v>
      </c>
      <c r="T197" s="5"/>
    </row>
    <row r="198" spans="1:20" ht="28.5" x14ac:dyDescent="0.25">
      <c r="A198" s="3" t="s">
        <v>292</v>
      </c>
      <c r="B198" s="3" t="s">
        <v>283</v>
      </c>
      <c r="C198" s="3">
        <v>5</v>
      </c>
      <c r="D198" s="3">
        <v>2</v>
      </c>
      <c r="E198" s="2" t="s">
        <v>462</v>
      </c>
      <c r="F198" s="3">
        <v>4</v>
      </c>
      <c r="G198" s="4" t="s">
        <v>514</v>
      </c>
      <c r="H198" s="4">
        <v>1</v>
      </c>
      <c r="I198" s="4"/>
      <c r="J198" s="4">
        <v>2</v>
      </c>
      <c r="K198" s="4"/>
      <c r="L198" s="3">
        <f t="shared" si="6"/>
        <v>1</v>
      </c>
      <c r="M198" s="4"/>
      <c r="N198" s="4"/>
      <c r="O198" s="4"/>
      <c r="P198" s="4"/>
      <c r="Q198" s="4"/>
      <c r="R198" s="4"/>
      <c r="S198" s="3">
        <f t="shared" si="7"/>
        <v>0</v>
      </c>
      <c r="T198" s="5"/>
    </row>
    <row r="199" spans="1:20" ht="28.5" x14ac:dyDescent="0.25">
      <c r="A199" s="3" t="s">
        <v>292</v>
      </c>
      <c r="B199" s="3" t="s">
        <v>283</v>
      </c>
      <c r="C199" s="3">
        <v>5</v>
      </c>
      <c r="D199" s="3">
        <v>3</v>
      </c>
      <c r="E199" s="2" t="s">
        <v>463</v>
      </c>
      <c r="F199" s="3">
        <v>3</v>
      </c>
      <c r="G199" s="4" t="s">
        <v>514</v>
      </c>
      <c r="H199" s="4">
        <v>2</v>
      </c>
      <c r="I199" s="4"/>
      <c r="J199" s="4"/>
      <c r="K199" s="4">
        <v>1</v>
      </c>
      <c r="L199" s="3">
        <f t="shared" si="6"/>
        <v>0</v>
      </c>
      <c r="M199" s="4"/>
      <c r="N199" s="4"/>
      <c r="O199" s="4">
        <v>1</v>
      </c>
      <c r="P199" s="4"/>
      <c r="Q199" s="4"/>
      <c r="R199" s="4"/>
      <c r="S199" s="3">
        <f t="shared" si="7"/>
        <v>1</v>
      </c>
      <c r="T199" s="5"/>
    </row>
    <row r="200" spans="1:20" ht="57" x14ac:dyDescent="0.25">
      <c r="A200" s="3" t="s">
        <v>292</v>
      </c>
      <c r="B200" s="3" t="s">
        <v>283</v>
      </c>
      <c r="C200" s="3">
        <v>5</v>
      </c>
      <c r="D200" s="3">
        <v>4</v>
      </c>
      <c r="E200" s="2" t="s">
        <v>464</v>
      </c>
      <c r="F200" s="3">
        <v>7</v>
      </c>
      <c r="G200" s="4" t="s">
        <v>514</v>
      </c>
      <c r="H200" s="4">
        <v>2</v>
      </c>
      <c r="I200" s="4"/>
      <c r="J200" s="4"/>
      <c r="K200" s="4"/>
      <c r="L200" s="3">
        <f t="shared" si="6"/>
        <v>5</v>
      </c>
      <c r="M200" s="4"/>
      <c r="N200" s="4"/>
      <c r="O200" s="4"/>
      <c r="P200" s="4"/>
      <c r="Q200" s="4"/>
      <c r="R200" s="4"/>
      <c r="S200" s="3">
        <f t="shared" si="7"/>
        <v>0</v>
      </c>
      <c r="T200" s="5" t="s">
        <v>521</v>
      </c>
    </row>
    <row r="201" spans="1:20" ht="28.5" x14ac:dyDescent="0.25">
      <c r="A201" s="3" t="s">
        <v>292</v>
      </c>
      <c r="B201" s="3" t="s">
        <v>283</v>
      </c>
      <c r="C201" s="3">
        <v>5</v>
      </c>
      <c r="D201" s="3">
        <v>5</v>
      </c>
      <c r="E201" s="2" t="s">
        <v>465</v>
      </c>
      <c r="F201" s="3">
        <v>4</v>
      </c>
      <c r="G201" s="4" t="s">
        <v>514</v>
      </c>
      <c r="H201" s="4">
        <v>1</v>
      </c>
      <c r="I201" s="4"/>
      <c r="J201" s="4"/>
      <c r="K201" s="4"/>
      <c r="L201" s="3">
        <f t="shared" si="6"/>
        <v>3</v>
      </c>
      <c r="M201" s="4"/>
      <c r="N201" s="4"/>
      <c r="O201" s="4"/>
      <c r="P201" s="4"/>
      <c r="Q201" s="4"/>
      <c r="R201" s="4"/>
      <c r="S201" s="3">
        <f t="shared" si="7"/>
        <v>0</v>
      </c>
      <c r="T201" s="5"/>
    </row>
    <row r="202" spans="1:20" ht="28.5" x14ac:dyDescent="0.25">
      <c r="A202" s="3" t="s">
        <v>292</v>
      </c>
      <c r="B202" s="3" t="s">
        <v>283</v>
      </c>
      <c r="C202" s="3">
        <v>5</v>
      </c>
      <c r="D202" s="3">
        <v>6</v>
      </c>
      <c r="E202" s="2" t="s">
        <v>466</v>
      </c>
      <c r="F202" s="3">
        <v>5</v>
      </c>
      <c r="G202" s="4" t="s">
        <v>514</v>
      </c>
      <c r="H202" s="4">
        <v>1</v>
      </c>
      <c r="I202" s="4"/>
      <c r="J202" s="4"/>
      <c r="K202" s="4"/>
      <c r="L202" s="3">
        <f t="shared" si="6"/>
        <v>4</v>
      </c>
      <c r="M202" s="4"/>
      <c r="N202" s="4"/>
      <c r="O202" s="4"/>
      <c r="P202" s="4"/>
      <c r="Q202" s="4"/>
      <c r="R202" s="4"/>
      <c r="S202" s="3">
        <f t="shared" si="7"/>
        <v>0</v>
      </c>
      <c r="T202" s="5"/>
    </row>
  </sheetData>
  <sheetProtection sheet="1" objects="1" scenarios="1" formatColumns="0" formatRows="0"/>
  <dataValidations count="4">
    <dataValidation type="list" allowBlank="1" showErrorMessage="1" sqref="G2:G202" xr:uid="{00000000-0002-0000-0200-000000000000}">
      <formula1>"doğru / правильно,yanlış ama anlaşılır / понятно,yanlış ve anlamsız / непонятно"</formula1>
    </dataValidation>
    <dataValidation type="whole" operator="greaterThanOrEqual" allowBlank="1" showErrorMessage="1" sqref="M2:R202 H2:K202" xr:uid="{00000000-0002-0000-0200-000001000000}">
      <formula1>0</formula1>
    </dataValidation>
    <dataValidation type="custom" allowBlank="1" showErrorMessage="1" errorTitle="Tek kod / One code / Один код" error="Her sözcük tek bir koda sayılır; kodların toplamı cümledeki sözcük sayısını geçemez._x000a_One code per word; the codes' total cannot exceed the sentence's word count._x000a_Одно слово — один код; сумма кодов не может превышать число слов." sqref="H2:K202" xr:uid="{00000000-0002-0000-0200-00000B000000}">
      <formula1>SUM($H2:$K2)&lt;=$F2</formula1>
    </dataValidation>
    <dataValidation type="custom" allowBlank="1" showErrorMessage="1" errorTitle="Tek kod / One code / Один код" error="Her sözcük tek bir koda sayılır; kodların toplamı cümledeki sözcük sayısını geçemez._x000a_One code per word; the codes' total cannot exceed the sentence's word count._x000a_Одно слово — один код; сумма кодов не может превышать число слов." sqref="M2:M202" xr:uid="{00000000-0002-0000-0200-00000C000000}">
      <formula1>SUM($H2:$K2)+$M2&lt;=$F2</formula1>
    </dataValidation>
  </dataValidations>
  <pageMargins left="0.5" right="0.5"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8"/>
  <sheetViews>
    <sheetView workbookViewId="0"/>
  </sheetViews>
  <sheetFormatPr defaultRowHeight="14.25" x14ac:dyDescent="0.25"/>
  <cols>
    <col min="1" max="1" width="40" customWidth="1"/>
    <col min="2" max="9" width="16" customWidth="1"/>
  </cols>
  <sheetData>
    <row r="1" spans="1:9" x14ac:dyDescent="0.25">
      <c r="A1" s="1" t="s">
        <v>467</v>
      </c>
    </row>
    <row r="3" spans="1:9" ht="28.5" x14ac:dyDescent="0.25">
      <c r="A3" s="1" t="s">
        <v>468</v>
      </c>
    </row>
    <row r="4" spans="1:9" ht="120" customHeight="1" x14ac:dyDescent="0.25">
      <c r="A4" s="1" t="s">
        <v>469</v>
      </c>
      <c r="B4" s="1" t="s">
        <v>470</v>
      </c>
      <c r="C4" s="1" t="s">
        <v>297</v>
      </c>
      <c r="D4" s="1" t="s">
        <v>298</v>
      </c>
      <c r="E4" s="1" t="s">
        <v>299</v>
      </c>
      <c r="F4" s="1" t="s">
        <v>300</v>
      </c>
      <c r="G4" s="1" t="s">
        <v>471</v>
      </c>
      <c r="H4" s="1" t="s">
        <v>472</v>
      </c>
      <c r="I4" s="1" t="s">
        <v>473</v>
      </c>
    </row>
    <row r="5" spans="1:9" x14ac:dyDescent="0.25">
      <c r="A5" s="3" t="s">
        <v>474</v>
      </c>
      <c r="B5" s="3">
        <f>SUMIF(Responses!$C:$C,"1",Responses!$G:$G)</f>
        <v>152</v>
      </c>
      <c r="C5" s="3">
        <f>SUMIFS(Sentences!$H:$H,Sentences!$C:$C,"1")</f>
        <v>8</v>
      </c>
      <c r="D5" s="3">
        <f>SUMIFS(Sentences!$I:$I,Sentences!$C:$C,"1")</f>
        <v>5</v>
      </c>
      <c r="E5" s="3">
        <f>SUMIFS(Sentences!$J:$J,Sentences!$C:$C,"1")</f>
        <v>4</v>
      </c>
      <c r="F5" s="3">
        <f>SUMIFS(Sentences!$K:$K,Sentences!$C:$C,"1")</f>
        <v>0</v>
      </c>
      <c r="G5" s="3">
        <f>C5+D5+E5+F5</f>
        <v>17</v>
      </c>
      <c r="H5" s="3">
        <f>IF(B5=0,0,(C5+D5+E5+F5)*100/B5)</f>
        <v>11.184210526315789</v>
      </c>
      <c r="I5" s="3">
        <f>SUMIFS(Sentences!$M:$M,Sentences!$C:$C,"1")</f>
        <v>0</v>
      </c>
    </row>
    <row r="6" spans="1:9" x14ac:dyDescent="0.25">
      <c r="A6" s="3" t="s">
        <v>475</v>
      </c>
      <c r="B6" s="3">
        <f>SUMIF(Responses!$C:$C,"2",Responses!$G:$G)</f>
        <v>328</v>
      </c>
      <c r="C6" s="3">
        <f>SUMIFS(Sentences!$H:$H,Sentences!$C:$C,"2")</f>
        <v>33</v>
      </c>
      <c r="D6" s="3">
        <f>SUMIFS(Sentences!$I:$I,Sentences!$C:$C,"2")</f>
        <v>19</v>
      </c>
      <c r="E6" s="3">
        <f>SUMIFS(Sentences!$J:$J,Sentences!$C:$C,"2")</f>
        <v>12</v>
      </c>
      <c r="F6" s="3">
        <f>SUMIFS(Sentences!$K:$K,Sentences!$C:$C,"2")</f>
        <v>2</v>
      </c>
      <c r="G6" s="3">
        <f>C6+D6+E6+F6</f>
        <v>66</v>
      </c>
      <c r="H6" s="3">
        <f>IF(B6=0,0,(C6+D6+E6+F6)*100/B6)</f>
        <v>20.121951219512194</v>
      </c>
      <c r="I6" s="3">
        <f>SUMIFS(Sentences!$M:$M,Sentences!$C:$C,"2")</f>
        <v>0</v>
      </c>
    </row>
    <row r="7" spans="1:9" x14ac:dyDescent="0.25">
      <c r="A7" s="3" t="s">
        <v>476</v>
      </c>
      <c r="B7" s="3">
        <f>SUMIF(Responses!$C:$C,"3",Responses!$G:$G)</f>
        <v>299</v>
      </c>
      <c r="C7" s="3">
        <f>SUMIFS(Sentences!$H:$H,Sentences!$C:$C,"3")</f>
        <v>35</v>
      </c>
      <c r="D7" s="3">
        <f>SUMIFS(Sentences!$I:$I,Sentences!$C:$C,"3")</f>
        <v>2</v>
      </c>
      <c r="E7" s="3">
        <f>SUMIFS(Sentences!$J:$J,Sentences!$C:$C,"3")</f>
        <v>6</v>
      </c>
      <c r="F7" s="3">
        <f>SUMIFS(Sentences!$K:$K,Sentences!$C:$C,"3")</f>
        <v>7</v>
      </c>
      <c r="G7" s="3">
        <f>C7+D7+E7+F7</f>
        <v>50</v>
      </c>
      <c r="H7" s="3">
        <f>IF(B7=0,0,(C7+D7+E7+F7)*100/B7)</f>
        <v>16.722408026755854</v>
      </c>
      <c r="I7" s="3">
        <f>SUMIFS(Sentences!$M:$M,Sentences!$C:$C,"3")</f>
        <v>0</v>
      </c>
    </row>
    <row r="8" spans="1:9" x14ac:dyDescent="0.25">
      <c r="A8" s="3" t="s">
        <v>477</v>
      </c>
      <c r="B8" s="3">
        <f>SUMIF(Responses!$C:$C,"4",Responses!$G:$G)</f>
        <v>293</v>
      </c>
      <c r="C8" s="3">
        <f>SUMIFS(Sentences!$H:$H,Sentences!$C:$C,"4")</f>
        <v>45</v>
      </c>
      <c r="D8" s="3">
        <f>SUMIFS(Sentences!$I:$I,Sentences!$C:$C,"4")</f>
        <v>8</v>
      </c>
      <c r="E8" s="3">
        <f>SUMIFS(Sentences!$J:$J,Sentences!$C:$C,"4")</f>
        <v>9</v>
      </c>
      <c r="F8" s="3">
        <f>SUMIFS(Sentences!$K:$K,Sentences!$C:$C,"4")</f>
        <v>4</v>
      </c>
      <c r="G8" s="3">
        <f>C8+D8+E8+F8</f>
        <v>66</v>
      </c>
      <c r="H8" s="3">
        <f>IF(B8=0,0,(C8+D8+E8+F8)*100/B8)</f>
        <v>22.525597269624573</v>
      </c>
      <c r="I8" s="3">
        <f>SUMIFS(Sentences!$M:$M,Sentences!$C:$C,"4")</f>
        <v>0</v>
      </c>
    </row>
    <row r="9" spans="1:9" x14ac:dyDescent="0.25">
      <c r="A9" s="3" t="s">
        <v>478</v>
      </c>
      <c r="B9" s="3">
        <f>SUMIF(Responses!$C:$C,"5",Responses!$G:$G)</f>
        <v>158</v>
      </c>
      <c r="C9" s="3">
        <f>SUMIFS(Sentences!$H:$H,Sentences!$C:$C,"5")</f>
        <v>15</v>
      </c>
      <c r="D9" s="3">
        <f>SUMIFS(Sentences!$I:$I,Sentences!$C:$C,"5")</f>
        <v>9</v>
      </c>
      <c r="E9" s="3">
        <f>SUMIFS(Sentences!$J:$J,Sentences!$C:$C,"5")</f>
        <v>3</v>
      </c>
      <c r="F9" s="3">
        <f>SUMIFS(Sentences!$K:$K,Sentences!$C:$C,"5")</f>
        <v>1</v>
      </c>
      <c r="G9" s="3">
        <f>C9+D9+E9+F9</f>
        <v>28</v>
      </c>
      <c r="H9" s="3">
        <f>IF(B9=0,0,(C9+D9+E9+F9)*100/B9)</f>
        <v>17.721518987341771</v>
      </c>
      <c r="I9" s="3">
        <f>SUMIFS(Sentences!$M:$M,Sentences!$C:$C,"5")</f>
        <v>0</v>
      </c>
    </row>
    <row r="11" spans="1:9" ht="42.75" x14ac:dyDescent="0.25">
      <c r="A11" s="1" t="s">
        <v>479</v>
      </c>
    </row>
    <row r="12" spans="1:9" ht="120" customHeight="1" x14ac:dyDescent="0.25">
      <c r="A12" s="1" t="s">
        <v>469</v>
      </c>
      <c r="B12" s="1" t="s">
        <v>480</v>
      </c>
      <c r="C12" s="1" t="s">
        <v>481</v>
      </c>
      <c r="D12" s="1" t="s">
        <v>482</v>
      </c>
    </row>
    <row r="13" spans="1:9" x14ac:dyDescent="0.25">
      <c r="A13" s="3" t="s">
        <v>474</v>
      </c>
      <c r="B13" s="3">
        <f>COUNTIFS(Sentences!$C:$C,"1",Sentences!$G:$G,"doğru / правильно")</f>
        <v>23</v>
      </c>
      <c r="C13" s="3">
        <f>COUNTIFS(Sentences!$C:$C,"1",Sentences!$G:$G,"yanlış ama anlaşılır / понятно")</f>
        <v>5</v>
      </c>
      <c r="D13" s="3">
        <f>COUNTIFS(Sentences!$C:$C,"1",Sentences!$G:$G,"yanlış ve anlamsız / непонятно")</f>
        <v>1</v>
      </c>
    </row>
    <row r="14" spans="1:9" x14ac:dyDescent="0.25">
      <c r="A14" s="3" t="s">
        <v>475</v>
      </c>
      <c r="B14" s="3">
        <f>COUNTIFS(Sentences!$C:$C,"2",Sentences!$G:$G,"doğru / правильно")</f>
        <v>20</v>
      </c>
      <c r="C14" s="3">
        <f>COUNTIFS(Sentences!$C:$C,"2",Sentences!$G:$G,"yanlış ama anlaşılır / понятно")</f>
        <v>19</v>
      </c>
      <c r="D14" s="3">
        <f>COUNTIFS(Sentences!$C:$C,"2",Sentences!$G:$G,"yanlış ve anlamsız / непонятно")</f>
        <v>2</v>
      </c>
    </row>
    <row r="15" spans="1:9" x14ac:dyDescent="0.25">
      <c r="A15" s="3" t="s">
        <v>476</v>
      </c>
      <c r="B15" s="3">
        <f>COUNTIFS(Sentences!$C:$C,"3",Sentences!$G:$G,"doğru / правильно")</f>
        <v>22</v>
      </c>
      <c r="C15" s="3">
        <f>COUNTIFS(Sentences!$C:$C,"3",Sentences!$G:$G,"yanlış ama anlaşılır / понятно")</f>
        <v>24</v>
      </c>
      <c r="D15" s="3">
        <f>COUNTIFS(Sentences!$C:$C,"3",Sentences!$G:$G,"yanlış ve anlamsız / непонятно")</f>
        <v>0</v>
      </c>
    </row>
    <row r="16" spans="1:9" x14ac:dyDescent="0.25">
      <c r="A16" s="3" t="s">
        <v>477</v>
      </c>
      <c r="B16" s="3">
        <f>COUNTIFS(Sentences!$C:$C,"4",Sentences!$G:$G,"doğru / правильно")</f>
        <v>19</v>
      </c>
      <c r="C16" s="3">
        <f>COUNTIFS(Sentences!$C:$C,"4",Sentences!$G:$G,"yanlış ama anlaşılır / понятно")</f>
        <v>28</v>
      </c>
      <c r="D16" s="3">
        <f>COUNTIFS(Sentences!$C:$C,"4",Sentences!$G:$G,"yanlış ve anlamsız / непонятно")</f>
        <v>0</v>
      </c>
    </row>
    <row r="17" spans="1:4" x14ac:dyDescent="0.25">
      <c r="A17" s="3" t="s">
        <v>478</v>
      </c>
      <c r="B17" s="3">
        <f>COUNTIFS(Sentences!$C:$C,"5",Sentences!$G:$G,"doğru / правильно")</f>
        <v>21</v>
      </c>
      <c r="C17" s="3">
        <f>COUNTIFS(Sentences!$C:$C,"5",Sentences!$G:$G,"yanlış ama anlaşılır / понятно")</f>
        <v>17</v>
      </c>
      <c r="D17" s="3">
        <f>COUNTIFS(Sentences!$C:$C,"5",Sentences!$G:$G,"yanlış ve anlamsız / непонятно")</f>
        <v>0</v>
      </c>
    </row>
    <row r="19" spans="1:4" ht="42.75" x14ac:dyDescent="0.25">
      <c r="A19" s="1" t="s">
        <v>483</v>
      </c>
    </row>
    <row r="20" spans="1:4" ht="75" customHeight="1" x14ac:dyDescent="0.25">
      <c r="A20" s="1" t="s">
        <v>469</v>
      </c>
      <c r="B20" s="1" t="s">
        <v>484</v>
      </c>
      <c r="C20" s="1" t="s">
        <v>485</v>
      </c>
      <c r="D20" s="1" t="s">
        <v>486</v>
      </c>
    </row>
    <row r="21" spans="1:4" x14ac:dyDescent="0.25">
      <c r="A21" s="3" t="s">
        <v>474</v>
      </c>
      <c r="B21" s="3">
        <f>COUNTIFS(Responses!$C:$C,"1",Responses!$I:$I,"tam / полное")</f>
        <v>2</v>
      </c>
      <c r="C21" s="3">
        <f>COUNTIFS(Responses!$C:$C,"1",Responses!$I:$I,"kısmen / частичное")</f>
        <v>5</v>
      </c>
      <c r="D21" s="3">
        <f>COUNTIFS(Responses!$C:$C,"1",Responses!$I:$I,"uyum yok / нет")</f>
        <v>0</v>
      </c>
    </row>
    <row r="22" spans="1:4" x14ac:dyDescent="0.25">
      <c r="A22" s="3" t="s">
        <v>475</v>
      </c>
      <c r="B22" s="3">
        <f>COUNTIFS(Responses!$C:$C,"2",Responses!$I:$I,"tam / полное")</f>
        <v>0</v>
      </c>
      <c r="C22" s="3">
        <f>COUNTIFS(Responses!$C:$C,"2",Responses!$I:$I,"kısmen / частичное")</f>
        <v>7</v>
      </c>
      <c r="D22" s="3">
        <f>COUNTIFS(Responses!$C:$C,"2",Responses!$I:$I,"uyum yok / нет")</f>
        <v>0</v>
      </c>
    </row>
    <row r="23" spans="1:4" x14ac:dyDescent="0.25">
      <c r="A23" s="3" t="s">
        <v>476</v>
      </c>
      <c r="B23" s="3">
        <f>COUNTIFS(Responses!$C:$C,"3",Responses!$I:$I,"tam / полное")</f>
        <v>0</v>
      </c>
      <c r="C23" s="3">
        <f>COUNTIFS(Responses!$C:$C,"3",Responses!$I:$I,"kısmen / частичное")</f>
        <v>7</v>
      </c>
      <c r="D23" s="3">
        <f>COUNTIFS(Responses!$C:$C,"3",Responses!$I:$I,"uyum yok / нет")</f>
        <v>0</v>
      </c>
    </row>
    <row r="24" spans="1:4" x14ac:dyDescent="0.25">
      <c r="A24" s="3" t="s">
        <v>477</v>
      </c>
      <c r="B24" s="3">
        <f>COUNTIFS(Responses!$C:$C,"4",Responses!$I:$I,"tam / полное")</f>
        <v>0</v>
      </c>
      <c r="C24" s="3">
        <f>COUNTIFS(Responses!$C:$C,"4",Responses!$I:$I,"kısmen / частичное")</f>
        <v>7</v>
      </c>
      <c r="D24" s="3">
        <f>COUNTIFS(Responses!$C:$C,"4",Responses!$I:$I,"uyum yok / нет")</f>
        <v>0</v>
      </c>
    </row>
    <row r="25" spans="1:4" x14ac:dyDescent="0.25">
      <c r="A25" s="3" t="s">
        <v>478</v>
      </c>
      <c r="B25" s="3">
        <f>COUNTIFS(Responses!$C:$C,"5",Responses!$I:$I,"tam / полное")</f>
        <v>1</v>
      </c>
      <c r="C25" s="3">
        <f>COUNTIFS(Responses!$C:$C,"5",Responses!$I:$I,"kısmen / частичное")</f>
        <v>6</v>
      </c>
      <c r="D25" s="3">
        <f>COUNTIFS(Responses!$C:$C,"5",Responses!$I:$I,"uyum yok / нет")</f>
        <v>0</v>
      </c>
    </row>
    <row r="27" spans="1:4" ht="42.75" x14ac:dyDescent="0.25">
      <c r="A27" s="1" t="s">
        <v>487</v>
      </c>
    </row>
    <row r="28" spans="1:4" ht="75" customHeight="1" x14ac:dyDescent="0.25">
      <c r="A28" s="1" t="s">
        <v>469</v>
      </c>
      <c r="B28" s="1" t="s">
        <v>488</v>
      </c>
      <c r="C28" s="1" t="s">
        <v>489</v>
      </c>
      <c r="D28" s="1" t="s">
        <v>490</v>
      </c>
    </row>
    <row r="29" spans="1:4" x14ac:dyDescent="0.25">
      <c r="A29" s="3" t="s">
        <v>474</v>
      </c>
      <c r="B29" s="3">
        <f>COUNTIFS(Responses!$C:$C,"1",Responses!$J:$J,"karşıladı / отвечает")</f>
        <v>3</v>
      </c>
      <c r="C29" s="3">
        <f>COUNTIFS(Responses!$C:$C,"1",Responses!$J:$J,"kısmen karşıladı / частично")</f>
        <v>2</v>
      </c>
      <c r="D29" s="3">
        <f>COUNTIFS(Responses!$C:$C,"1",Responses!$J:$J,"alakasız / не по теме")</f>
        <v>2</v>
      </c>
    </row>
    <row r="30" spans="1:4" x14ac:dyDescent="0.25">
      <c r="A30" s="3" t="s">
        <v>475</v>
      </c>
      <c r="B30" s="3">
        <f>COUNTIFS(Responses!$C:$C,"2",Responses!$J:$J,"karşıladı / отвечает")</f>
        <v>7</v>
      </c>
      <c r="C30" s="3">
        <f>COUNTIFS(Responses!$C:$C,"2",Responses!$J:$J,"kısmen karşıladı / частично")</f>
        <v>0</v>
      </c>
      <c r="D30" s="3">
        <f>COUNTIFS(Responses!$C:$C,"2",Responses!$J:$J,"alakasız / не по теме")</f>
        <v>0</v>
      </c>
    </row>
    <row r="31" spans="1:4" x14ac:dyDescent="0.25">
      <c r="A31" s="3" t="s">
        <v>476</v>
      </c>
      <c r="B31" s="3">
        <f>COUNTIFS(Responses!$C:$C,"3",Responses!$J:$J,"karşıladı / отвечает")</f>
        <v>7</v>
      </c>
      <c r="C31" s="3">
        <f>COUNTIFS(Responses!$C:$C,"3",Responses!$J:$J,"kısmen karşıladı / частично")</f>
        <v>0</v>
      </c>
      <c r="D31" s="3">
        <f>COUNTIFS(Responses!$C:$C,"3",Responses!$J:$J,"alakasız / не по теме")</f>
        <v>0</v>
      </c>
    </row>
    <row r="32" spans="1:4" x14ac:dyDescent="0.25">
      <c r="A32" s="3" t="s">
        <v>477</v>
      </c>
      <c r="B32" s="3">
        <f>COUNTIFS(Responses!$C:$C,"4",Responses!$J:$J,"karşıladı / отвечает")</f>
        <v>6</v>
      </c>
      <c r="C32" s="3">
        <f>COUNTIFS(Responses!$C:$C,"4",Responses!$J:$J,"kısmen karşıladı / частично")</f>
        <v>1</v>
      </c>
      <c r="D32" s="3">
        <f>COUNTIFS(Responses!$C:$C,"4",Responses!$J:$J,"alakasız / не по теме")</f>
        <v>0</v>
      </c>
    </row>
    <row r="33" spans="1:7" x14ac:dyDescent="0.25">
      <c r="A33" s="3" t="s">
        <v>478</v>
      </c>
      <c r="B33" s="3">
        <f>COUNTIFS(Responses!$C:$C,"5",Responses!$J:$J,"karşıladı / отвечает")</f>
        <v>2</v>
      </c>
      <c r="C33" s="3">
        <f>COUNTIFS(Responses!$C:$C,"5",Responses!$J:$J,"kısmen karşıladı / частично")</f>
        <v>2</v>
      </c>
      <c r="D33" s="3">
        <f>COUNTIFS(Responses!$C:$C,"5",Responses!$J:$J,"alakasız / не по теме")</f>
        <v>3</v>
      </c>
    </row>
    <row r="35" spans="1:7" ht="28.5" x14ac:dyDescent="0.25">
      <c r="A35" s="1" t="s">
        <v>491</v>
      </c>
    </row>
    <row r="36" spans="1:7" ht="142.5" x14ac:dyDescent="0.25">
      <c r="A36" s="2" t="s">
        <v>492</v>
      </c>
      <c r="B36" s="3">
        <f>COUNTIF(Sentences!$L:$L,"&lt;0")</f>
        <v>0</v>
      </c>
    </row>
    <row r="38" spans="1:7" ht="42.75" x14ac:dyDescent="0.25">
      <c r="A38" s="1" t="s">
        <v>493</v>
      </c>
    </row>
    <row r="39" spans="1:7" ht="195" customHeight="1" x14ac:dyDescent="0.25">
      <c r="A39" s="1" t="s">
        <v>469</v>
      </c>
      <c r="B39" s="1" t="s">
        <v>494</v>
      </c>
      <c r="C39" s="1" t="s">
        <v>495</v>
      </c>
      <c r="D39" s="1" t="s">
        <v>496</v>
      </c>
    </row>
    <row r="40" spans="1:7" x14ac:dyDescent="0.25">
      <c r="A40" s="3" t="s">
        <v>474</v>
      </c>
      <c r="B40" s="3">
        <f>COUNTIFS(Responses!$C:$C,"1",Responses!$L:$L,"iki metni de işlemiştir / обработал оба текста")</f>
        <v>0</v>
      </c>
      <c r="C40" s="3">
        <f>COUNTIFS(Responses!$C:$C,"1",Responses!$L:$L,"metinleri hizalamamıştır / не сопоставил тексты")</f>
        <v>1</v>
      </c>
      <c r="D40" s="3">
        <f>COUNTIFS(Responses!$C:$C,"1",Responses!$L:$L,"olmayan bir fark uydurmuştur (halüsinasyon) / придумал несуществующее различие (галлюцинация)")</f>
        <v>0</v>
      </c>
    </row>
    <row r="41" spans="1:7" x14ac:dyDescent="0.25">
      <c r="A41" s="3" t="s">
        <v>475</v>
      </c>
      <c r="B41" s="3">
        <f>COUNTIFS(Responses!$C:$C,"2",Responses!$L:$L,"iki metni de işlemiştir / обработал оба текста")</f>
        <v>1</v>
      </c>
      <c r="C41" s="3">
        <f>COUNTIFS(Responses!$C:$C,"2",Responses!$L:$L,"metinleri hizalamamıştır / не сопоставил тексты")</f>
        <v>0</v>
      </c>
      <c r="D41" s="3">
        <f>COUNTIFS(Responses!$C:$C,"2",Responses!$L:$L,"olmayan bir fark uydurmuştur (halüsinasyon) / придумал несуществующее различие (галлюцинация)")</f>
        <v>0</v>
      </c>
    </row>
    <row r="42" spans="1:7" x14ac:dyDescent="0.25">
      <c r="A42" s="3" t="s">
        <v>476</v>
      </c>
      <c r="B42" s="3">
        <f>COUNTIFS(Responses!$C:$C,"3",Responses!$L:$L,"iki metni de işlemiştir / обработал оба текста")</f>
        <v>1</v>
      </c>
      <c r="C42" s="3">
        <f>COUNTIFS(Responses!$C:$C,"3",Responses!$L:$L,"metinleri hizalamamıştır / не сопоставил тексты")</f>
        <v>0</v>
      </c>
      <c r="D42" s="3">
        <f>COUNTIFS(Responses!$C:$C,"3",Responses!$L:$L,"olmayan bir fark uydurmuştur (halüsinasyon) / придумал несуществующее различие (галлюцинация)")</f>
        <v>0</v>
      </c>
    </row>
    <row r="43" spans="1:7" x14ac:dyDescent="0.25">
      <c r="A43" s="3" t="s">
        <v>477</v>
      </c>
      <c r="B43" s="3">
        <f>COUNTIFS(Responses!$C:$C,"4",Responses!$L:$L,"iki metni de işlemiştir / обработал оба текста")</f>
        <v>1</v>
      </c>
      <c r="C43" s="3">
        <f>COUNTIFS(Responses!$C:$C,"4",Responses!$L:$L,"metinleri hizalamamıştır / не сопоставил тексты")</f>
        <v>0</v>
      </c>
      <c r="D43" s="3">
        <f>COUNTIFS(Responses!$C:$C,"4",Responses!$L:$L,"olmayan bir fark uydurmuştur (halüsinasyon) / придумал несуществующее различие (галлюцинация)")</f>
        <v>0</v>
      </c>
    </row>
    <row r="44" spans="1:7" x14ac:dyDescent="0.25">
      <c r="A44" s="3" t="s">
        <v>478</v>
      </c>
      <c r="B44" s="3">
        <f>COUNTIFS(Responses!$C:$C,"5",Responses!$L:$L,"iki metni de işlemiştir / обработал оба текста")</f>
        <v>1</v>
      </c>
      <c r="C44" s="3">
        <f>COUNTIFS(Responses!$C:$C,"5",Responses!$L:$L,"metinleri hizalamamıştır / не сопоставил тексты")</f>
        <v>0</v>
      </c>
      <c r="D44" s="3">
        <f>COUNTIFS(Responses!$C:$C,"5",Responses!$L:$L,"olmayan bir fark uydurmuştur (halüsinasyon) / придумал несуществующее различие (галлюцинация)")</f>
        <v>0</v>
      </c>
    </row>
    <row r="46" spans="1:7" ht="42.75" x14ac:dyDescent="0.25">
      <c r="A46" s="1" t="s">
        <v>497</v>
      </c>
    </row>
    <row r="47" spans="1:7" ht="75" customHeight="1" x14ac:dyDescent="0.25">
      <c r="A47" s="1" t="s">
        <v>469</v>
      </c>
      <c r="B47" s="1" t="s">
        <v>303</v>
      </c>
      <c r="C47" s="1" t="s">
        <v>304</v>
      </c>
      <c r="D47" s="1" t="s">
        <v>305</v>
      </c>
      <c r="E47" s="1" t="s">
        <v>306</v>
      </c>
      <c r="F47" s="1" t="s">
        <v>307</v>
      </c>
      <c r="G47" s="1" t="s">
        <v>498</v>
      </c>
    </row>
    <row r="48" spans="1:7" x14ac:dyDescent="0.25">
      <c r="A48" s="3" t="s">
        <v>474</v>
      </c>
      <c r="B48" s="3">
        <f>SUMIFS(Sentences!$N:$N,Sentences!$C:$C,"1")</f>
        <v>0</v>
      </c>
      <c r="C48" s="3">
        <f>SUMIFS(Sentences!$O:$O,Sentences!$C:$C,"1")</f>
        <v>0</v>
      </c>
      <c r="D48" s="3">
        <f>SUMIFS(Sentences!$P:$P,Sentences!$C:$C,"1")</f>
        <v>0</v>
      </c>
      <c r="E48" s="3">
        <f>SUMIFS(Sentences!$Q:$Q,Sentences!$C:$C,"1")</f>
        <v>0</v>
      </c>
      <c r="F48" s="3">
        <f>SUMIFS(Sentences!$R:$R,Sentences!$C:$C,"1")</f>
        <v>0</v>
      </c>
      <c r="G48" s="3">
        <f>SUMIFS(Sentences!$S:$S,Sentences!$C:$C,"1")</f>
        <v>0</v>
      </c>
    </row>
    <row r="49" spans="1:7" x14ac:dyDescent="0.25">
      <c r="A49" s="3" t="s">
        <v>475</v>
      </c>
      <c r="B49" s="3">
        <f>SUMIFS(Sentences!$N:$N,Sentences!$C:$C,"2")</f>
        <v>1</v>
      </c>
      <c r="C49" s="3">
        <f>SUMIFS(Sentences!$O:$O,Sentences!$C:$C,"2")</f>
        <v>1</v>
      </c>
      <c r="D49" s="3">
        <f>SUMIFS(Sentences!$P:$P,Sentences!$C:$C,"2")</f>
        <v>0</v>
      </c>
      <c r="E49" s="3">
        <f>SUMIFS(Sentences!$Q:$Q,Sentences!$C:$C,"2")</f>
        <v>0</v>
      </c>
      <c r="F49" s="3">
        <f>SUMIFS(Sentences!$R:$R,Sentences!$C:$C,"2")</f>
        <v>0</v>
      </c>
      <c r="G49" s="3">
        <f>SUMIFS(Sentences!$S:$S,Sentences!$C:$C,"2")</f>
        <v>2</v>
      </c>
    </row>
    <row r="50" spans="1:7" x14ac:dyDescent="0.25">
      <c r="A50" s="3" t="s">
        <v>476</v>
      </c>
      <c r="B50" s="3">
        <f>SUMIFS(Sentences!$N:$N,Sentences!$C:$C,"3")</f>
        <v>5</v>
      </c>
      <c r="C50" s="3">
        <f>SUMIFS(Sentences!$O:$O,Sentences!$C:$C,"3")</f>
        <v>2</v>
      </c>
      <c r="D50" s="3">
        <f>SUMIFS(Sentences!$P:$P,Sentences!$C:$C,"3")</f>
        <v>0</v>
      </c>
      <c r="E50" s="3">
        <f>SUMIFS(Sentences!$Q:$Q,Sentences!$C:$C,"3")</f>
        <v>0</v>
      </c>
      <c r="F50" s="3">
        <f>SUMIFS(Sentences!$R:$R,Sentences!$C:$C,"3")</f>
        <v>0</v>
      </c>
      <c r="G50" s="3">
        <f>SUMIFS(Sentences!$S:$S,Sentences!$C:$C,"3")</f>
        <v>7</v>
      </c>
    </row>
    <row r="51" spans="1:7" x14ac:dyDescent="0.25">
      <c r="A51" s="3" t="s">
        <v>477</v>
      </c>
      <c r="B51" s="3">
        <f>SUMIFS(Sentences!$N:$N,Sentences!$C:$C,"4")</f>
        <v>4</v>
      </c>
      <c r="C51" s="3">
        <f>SUMIFS(Sentences!$O:$O,Sentences!$C:$C,"4")</f>
        <v>0</v>
      </c>
      <c r="D51" s="3">
        <f>SUMIFS(Sentences!$P:$P,Sentences!$C:$C,"4")</f>
        <v>0</v>
      </c>
      <c r="E51" s="3">
        <f>SUMIFS(Sentences!$Q:$Q,Sentences!$C:$C,"4")</f>
        <v>0</v>
      </c>
      <c r="F51" s="3">
        <f>SUMIFS(Sentences!$R:$R,Sentences!$C:$C,"4")</f>
        <v>0</v>
      </c>
      <c r="G51" s="3">
        <f>SUMIFS(Sentences!$S:$S,Sentences!$C:$C,"4")</f>
        <v>4</v>
      </c>
    </row>
    <row r="52" spans="1:7" x14ac:dyDescent="0.25">
      <c r="A52" s="3" t="s">
        <v>478</v>
      </c>
      <c r="B52" s="3">
        <f>SUMIFS(Sentences!$N:$N,Sentences!$C:$C,"5")</f>
        <v>0</v>
      </c>
      <c r="C52" s="3">
        <f>SUMIFS(Sentences!$O:$O,Sentences!$C:$C,"5")</f>
        <v>1</v>
      </c>
      <c r="D52" s="3">
        <f>SUMIFS(Sentences!$P:$P,Sentences!$C:$C,"5")</f>
        <v>0</v>
      </c>
      <c r="E52" s="3">
        <f>SUMIFS(Sentences!$Q:$Q,Sentences!$C:$C,"5")</f>
        <v>0</v>
      </c>
      <c r="F52" s="3">
        <f>SUMIFS(Sentences!$R:$R,Sentences!$C:$C,"5")</f>
        <v>0</v>
      </c>
      <c r="G52" s="3">
        <f>SUMIFS(Sentences!$S:$S,Sentences!$C:$C,"5")</f>
        <v>1</v>
      </c>
    </row>
    <row r="54" spans="1:7" ht="28.5" x14ac:dyDescent="0.25">
      <c r="A54" s="1" t="s">
        <v>499</v>
      </c>
    </row>
    <row r="55" spans="1:7" ht="60" customHeight="1" x14ac:dyDescent="0.25">
      <c r="A55" s="1" t="s">
        <v>500</v>
      </c>
      <c r="B55" s="1" t="s">
        <v>501</v>
      </c>
      <c r="C55" s="1" t="s">
        <v>498</v>
      </c>
    </row>
    <row r="56" spans="1:7" ht="42.75" x14ac:dyDescent="0.25">
      <c r="A56" s="2" t="s">
        <v>502</v>
      </c>
      <c r="B56" s="3">
        <f>COUNTIF(Responses!$K:$K,"evet / да")</f>
        <v>35</v>
      </c>
      <c r="C56" s="3">
        <f>COUNTA(Responses!$A:$A)-1</f>
        <v>35</v>
      </c>
    </row>
    <row r="57" spans="1:7" ht="42.75" x14ac:dyDescent="0.25">
      <c r="A57" s="2" t="s">
        <v>503</v>
      </c>
      <c r="B57" s="3">
        <f>COUNTA(Sentences!$G:$G)-1</f>
        <v>201</v>
      </c>
      <c r="C57" s="3">
        <f>COUNTA(Sentences!$A:$A)-1</f>
        <v>201</v>
      </c>
    </row>
    <row r="58" spans="1:7" ht="42.75" x14ac:dyDescent="0.25">
      <c r="A58" s="2" t="s">
        <v>504</v>
      </c>
      <c r="B58" s="3">
        <f>COUNTIF(Responses!$K:$K,"hayır / нет")</f>
        <v>0</v>
      </c>
      <c r="C58" s="3">
        <f>COUNTA(Responses!$A:$A)-1</f>
        <v>35</v>
      </c>
    </row>
  </sheetData>
  <sheetProtection sheet="1" objects="1" scenarios="1" formatColumns="0" formatRows="0"/>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Responses</vt:lpstr>
      <vt:lpstr>Sentences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Ugur Nemlioglu</cp:lastModifiedBy>
  <dcterms:modified xsi:type="dcterms:W3CDTF">2026-09-20T18:56:51Z</dcterms:modified>
</cp:coreProperties>
</file>