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ude\DoktoraTez\AI-Tests\github\data\workbooks\"/>
    </mc:Choice>
  </mc:AlternateContent>
  <xr:revisionPtr revIDLastSave="0" documentId="13_ncr:1_{ACA4FA9A-84E4-40A0-9140-041A22D68D45}"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Responses" sheetId="2" r:id="rId2"/>
    <sheet name="Sentences" sheetId="3" r:id="rId3"/>
    <sheet name="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8" i="4" l="1"/>
  <c r="B58" i="4"/>
  <c r="C57" i="4"/>
  <c r="B57" i="4"/>
  <c r="C56" i="4"/>
  <c r="B56" i="4"/>
  <c r="F52" i="4"/>
  <c r="E52" i="4"/>
  <c r="D52" i="4"/>
  <c r="C52" i="4"/>
  <c r="B52" i="4"/>
  <c r="F51" i="4"/>
  <c r="E51" i="4"/>
  <c r="D51" i="4"/>
  <c r="C51" i="4"/>
  <c r="B51" i="4"/>
  <c r="F50" i="4"/>
  <c r="E50" i="4"/>
  <c r="D50" i="4"/>
  <c r="C50" i="4"/>
  <c r="B50" i="4"/>
  <c r="F49" i="4"/>
  <c r="E49" i="4"/>
  <c r="D49" i="4"/>
  <c r="C49" i="4"/>
  <c r="B49" i="4"/>
  <c r="F48" i="4"/>
  <c r="E48" i="4"/>
  <c r="D48" i="4"/>
  <c r="C48" i="4"/>
  <c r="B48" i="4"/>
  <c r="D44" i="4"/>
  <c r="C44" i="4"/>
  <c r="B44" i="4"/>
  <c r="D43" i="4"/>
  <c r="C43" i="4"/>
  <c r="B43" i="4"/>
  <c r="D42" i="4"/>
  <c r="C42" i="4"/>
  <c r="B42" i="4"/>
  <c r="D41" i="4"/>
  <c r="C41" i="4"/>
  <c r="B41" i="4"/>
  <c r="D40" i="4"/>
  <c r="C40" i="4"/>
  <c r="B40" i="4"/>
  <c r="D33" i="4"/>
  <c r="C33" i="4"/>
  <c r="B33" i="4"/>
  <c r="D32" i="4"/>
  <c r="C32" i="4"/>
  <c r="B32" i="4"/>
  <c r="D31" i="4"/>
  <c r="C31" i="4"/>
  <c r="B31" i="4"/>
  <c r="D30" i="4"/>
  <c r="C30" i="4"/>
  <c r="B30" i="4"/>
  <c r="D29" i="4"/>
  <c r="C29" i="4"/>
  <c r="B29" i="4"/>
  <c r="D25" i="4"/>
  <c r="C25" i="4"/>
  <c r="B25" i="4"/>
  <c r="D24" i="4"/>
  <c r="C24" i="4"/>
  <c r="B24" i="4"/>
  <c r="D23" i="4"/>
  <c r="C23" i="4"/>
  <c r="B23" i="4"/>
  <c r="D22" i="4"/>
  <c r="C22" i="4"/>
  <c r="B22" i="4"/>
  <c r="D21" i="4"/>
  <c r="C21" i="4"/>
  <c r="B21" i="4"/>
  <c r="D17" i="4"/>
  <c r="C17" i="4"/>
  <c r="B17" i="4"/>
  <c r="D16" i="4"/>
  <c r="C16" i="4"/>
  <c r="B16" i="4"/>
  <c r="D15" i="4"/>
  <c r="C15" i="4"/>
  <c r="B15" i="4"/>
  <c r="D14" i="4"/>
  <c r="C14" i="4"/>
  <c r="B14" i="4"/>
  <c r="D13" i="4"/>
  <c r="C13" i="4"/>
  <c r="B13" i="4"/>
  <c r="I9" i="4"/>
  <c r="F9" i="4"/>
  <c r="E9" i="4"/>
  <c r="D9" i="4"/>
  <c r="C9" i="4"/>
  <c r="B9" i="4"/>
  <c r="I8" i="4"/>
  <c r="F8" i="4"/>
  <c r="E8" i="4"/>
  <c r="D8" i="4"/>
  <c r="C8" i="4"/>
  <c r="B8" i="4"/>
  <c r="I7" i="4"/>
  <c r="F7" i="4"/>
  <c r="E7" i="4"/>
  <c r="D7" i="4"/>
  <c r="C7" i="4"/>
  <c r="B7" i="4"/>
  <c r="I6" i="4"/>
  <c r="F6" i="4"/>
  <c r="E6" i="4"/>
  <c r="D6" i="4"/>
  <c r="C6" i="4"/>
  <c r="B6" i="4"/>
  <c r="I5" i="4"/>
  <c r="F5" i="4"/>
  <c r="E5" i="4"/>
  <c r="D5" i="4"/>
  <c r="C5" i="4"/>
  <c r="B5" i="4"/>
  <c r="S251" i="3"/>
  <c r="L251" i="3"/>
  <c r="S250" i="3"/>
  <c r="L250" i="3"/>
  <c r="S249" i="3"/>
  <c r="L249" i="3"/>
  <c r="S248" i="3"/>
  <c r="L248" i="3"/>
  <c r="S247" i="3"/>
  <c r="L247" i="3"/>
  <c r="S246" i="3"/>
  <c r="L246" i="3"/>
  <c r="S245" i="3"/>
  <c r="L245" i="3"/>
  <c r="S244" i="3"/>
  <c r="L244" i="3"/>
  <c r="S243" i="3"/>
  <c r="L243" i="3"/>
  <c r="S242" i="3"/>
  <c r="L242" i="3"/>
  <c r="S241" i="3"/>
  <c r="L241" i="3"/>
  <c r="S240" i="3"/>
  <c r="L240" i="3"/>
  <c r="S239" i="3"/>
  <c r="L239" i="3"/>
  <c r="S238" i="3"/>
  <c r="L238" i="3"/>
  <c r="S237" i="3"/>
  <c r="L237" i="3"/>
  <c r="S236" i="3"/>
  <c r="L236" i="3"/>
  <c r="S235" i="3"/>
  <c r="L235" i="3"/>
  <c r="S234" i="3"/>
  <c r="L234" i="3"/>
  <c r="S233" i="3"/>
  <c r="L233" i="3"/>
  <c r="S232" i="3"/>
  <c r="L232" i="3"/>
  <c r="S231" i="3"/>
  <c r="L231" i="3"/>
  <c r="S230" i="3"/>
  <c r="L230" i="3"/>
  <c r="S229" i="3"/>
  <c r="L229" i="3"/>
  <c r="S228" i="3"/>
  <c r="L228" i="3"/>
  <c r="S227" i="3"/>
  <c r="L227" i="3"/>
  <c r="S226" i="3"/>
  <c r="L226" i="3"/>
  <c r="S225" i="3"/>
  <c r="L225" i="3"/>
  <c r="S224" i="3"/>
  <c r="L224" i="3"/>
  <c r="S223" i="3"/>
  <c r="L223" i="3"/>
  <c r="S222" i="3"/>
  <c r="L222" i="3"/>
  <c r="S221" i="3"/>
  <c r="L221" i="3"/>
  <c r="S220" i="3"/>
  <c r="L220" i="3"/>
  <c r="S219" i="3"/>
  <c r="L219" i="3"/>
  <c r="S218" i="3"/>
  <c r="L218" i="3"/>
  <c r="S217" i="3"/>
  <c r="L217" i="3"/>
  <c r="S216" i="3"/>
  <c r="L216" i="3"/>
  <c r="S215" i="3"/>
  <c r="L215" i="3"/>
  <c r="S214" i="3"/>
  <c r="L214" i="3"/>
  <c r="S213" i="3"/>
  <c r="L213" i="3"/>
  <c r="S212" i="3"/>
  <c r="L212" i="3"/>
  <c r="S211" i="3"/>
  <c r="L211" i="3"/>
  <c r="S210" i="3"/>
  <c r="L210" i="3"/>
  <c r="S209" i="3"/>
  <c r="L209" i="3"/>
  <c r="S208" i="3"/>
  <c r="L208" i="3"/>
  <c r="S207" i="3"/>
  <c r="L207" i="3"/>
  <c r="S206" i="3"/>
  <c r="L206" i="3"/>
  <c r="S205" i="3"/>
  <c r="L205" i="3"/>
  <c r="S204" i="3"/>
  <c r="L204" i="3"/>
  <c r="S203" i="3"/>
  <c r="L203" i="3"/>
  <c r="S202" i="3"/>
  <c r="L202" i="3"/>
  <c r="S201" i="3"/>
  <c r="L201" i="3"/>
  <c r="S200" i="3"/>
  <c r="L200" i="3"/>
  <c r="S199" i="3"/>
  <c r="L199" i="3"/>
  <c r="S198" i="3"/>
  <c r="L198" i="3"/>
  <c r="S197" i="3"/>
  <c r="L197" i="3"/>
  <c r="S196" i="3"/>
  <c r="L196" i="3"/>
  <c r="S195" i="3"/>
  <c r="L195" i="3"/>
  <c r="S194" i="3"/>
  <c r="L194" i="3"/>
  <c r="S193" i="3"/>
  <c r="L193" i="3"/>
  <c r="S192" i="3"/>
  <c r="L192" i="3"/>
  <c r="S191" i="3"/>
  <c r="L191" i="3"/>
  <c r="S190" i="3"/>
  <c r="L190" i="3"/>
  <c r="S189" i="3"/>
  <c r="L189" i="3"/>
  <c r="S188" i="3"/>
  <c r="L188" i="3"/>
  <c r="S187" i="3"/>
  <c r="L187" i="3"/>
  <c r="S186" i="3"/>
  <c r="L186" i="3"/>
  <c r="S185" i="3"/>
  <c r="L185" i="3"/>
  <c r="S184" i="3"/>
  <c r="L184" i="3"/>
  <c r="S183" i="3"/>
  <c r="L183" i="3"/>
  <c r="S182" i="3"/>
  <c r="L182" i="3"/>
  <c r="S181" i="3"/>
  <c r="L181" i="3"/>
  <c r="S180" i="3"/>
  <c r="L180" i="3"/>
  <c r="S179" i="3"/>
  <c r="L179" i="3"/>
  <c r="S178" i="3"/>
  <c r="L178" i="3"/>
  <c r="S177" i="3"/>
  <c r="L177" i="3"/>
  <c r="S176" i="3"/>
  <c r="L176" i="3"/>
  <c r="S175" i="3"/>
  <c r="L175" i="3"/>
  <c r="S174" i="3"/>
  <c r="L174" i="3"/>
  <c r="S173" i="3"/>
  <c r="L173" i="3"/>
  <c r="S172" i="3"/>
  <c r="L172" i="3"/>
  <c r="S171" i="3"/>
  <c r="L171" i="3"/>
  <c r="S170" i="3"/>
  <c r="L170" i="3"/>
  <c r="S169" i="3"/>
  <c r="L169" i="3"/>
  <c r="S168" i="3"/>
  <c r="L168" i="3"/>
  <c r="S167" i="3"/>
  <c r="L167" i="3"/>
  <c r="S166" i="3"/>
  <c r="L166" i="3"/>
  <c r="S165" i="3"/>
  <c r="L165" i="3"/>
  <c r="S164" i="3"/>
  <c r="L164" i="3"/>
  <c r="S163" i="3"/>
  <c r="L163" i="3"/>
  <c r="S162" i="3"/>
  <c r="L162" i="3"/>
  <c r="S161" i="3"/>
  <c r="L161" i="3"/>
  <c r="S160" i="3"/>
  <c r="L160" i="3"/>
  <c r="S159" i="3"/>
  <c r="L159" i="3"/>
  <c r="S158" i="3"/>
  <c r="L158" i="3"/>
  <c r="S157" i="3"/>
  <c r="L157" i="3"/>
  <c r="S156" i="3"/>
  <c r="L156" i="3"/>
  <c r="S155" i="3"/>
  <c r="L155" i="3"/>
  <c r="S154" i="3"/>
  <c r="L154" i="3"/>
  <c r="S153" i="3"/>
  <c r="L153" i="3"/>
  <c r="S152" i="3"/>
  <c r="L152" i="3"/>
  <c r="S151" i="3"/>
  <c r="L151" i="3"/>
  <c r="S150" i="3"/>
  <c r="L150" i="3"/>
  <c r="S149" i="3"/>
  <c r="L149" i="3"/>
  <c r="S148" i="3"/>
  <c r="L148" i="3"/>
  <c r="S147" i="3"/>
  <c r="L147" i="3"/>
  <c r="S146" i="3"/>
  <c r="L146" i="3"/>
  <c r="S145" i="3"/>
  <c r="L145" i="3"/>
  <c r="S144" i="3"/>
  <c r="L144" i="3"/>
  <c r="S143" i="3"/>
  <c r="L143" i="3"/>
  <c r="S142" i="3"/>
  <c r="L142" i="3"/>
  <c r="S141" i="3"/>
  <c r="L141" i="3"/>
  <c r="S140" i="3"/>
  <c r="L140" i="3"/>
  <c r="S139" i="3"/>
  <c r="L139" i="3"/>
  <c r="S138" i="3"/>
  <c r="L138" i="3"/>
  <c r="S137" i="3"/>
  <c r="L137" i="3"/>
  <c r="S136" i="3"/>
  <c r="L136" i="3"/>
  <c r="S135" i="3"/>
  <c r="L135" i="3"/>
  <c r="S134" i="3"/>
  <c r="L134" i="3"/>
  <c r="S133" i="3"/>
  <c r="L133" i="3"/>
  <c r="S132" i="3"/>
  <c r="L132" i="3"/>
  <c r="S131" i="3"/>
  <c r="L131" i="3"/>
  <c r="S130" i="3"/>
  <c r="L130" i="3"/>
  <c r="S129" i="3"/>
  <c r="L129" i="3"/>
  <c r="S128" i="3"/>
  <c r="L128" i="3"/>
  <c r="S127" i="3"/>
  <c r="L127" i="3"/>
  <c r="S126" i="3"/>
  <c r="L126" i="3"/>
  <c r="S125" i="3"/>
  <c r="L125" i="3"/>
  <c r="S124" i="3"/>
  <c r="L124" i="3"/>
  <c r="S123" i="3"/>
  <c r="L123" i="3"/>
  <c r="S122" i="3"/>
  <c r="L122" i="3"/>
  <c r="S121" i="3"/>
  <c r="L121" i="3"/>
  <c r="S120" i="3"/>
  <c r="L120" i="3"/>
  <c r="S119" i="3"/>
  <c r="L119" i="3"/>
  <c r="S118" i="3"/>
  <c r="L118" i="3"/>
  <c r="S117" i="3"/>
  <c r="L117" i="3"/>
  <c r="S116" i="3"/>
  <c r="L116" i="3"/>
  <c r="S115" i="3"/>
  <c r="L115" i="3"/>
  <c r="S114" i="3"/>
  <c r="L114" i="3"/>
  <c r="S113" i="3"/>
  <c r="L113" i="3"/>
  <c r="S112" i="3"/>
  <c r="L112" i="3"/>
  <c r="S111" i="3"/>
  <c r="L111" i="3"/>
  <c r="S110" i="3"/>
  <c r="L110" i="3"/>
  <c r="S109" i="3"/>
  <c r="L109" i="3"/>
  <c r="S108" i="3"/>
  <c r="L108" i="3"/>
  <c r="S107" i="3"/>
  <c r="L107" i="3"/>
  <c r="S106" i="3"/>
  <c r="L106" i="3"/>
  <c r="S105" i="3"/>
  <c r="L105" i="3"/>
  <c r="S104" i="3"/>
  <c r="L104" i="3"/>
  <c r="S103" i="3"/>
  <c r="L103" i="3"/>
  <c r="S102" i="3"/>
  <c r="L102" i="3"/>
  <c r="S101" i="3"/>
  <c r="L101" i="3"/>
  <c r="S100" i="3"/>
  <c r="L100" i="3"/>
  <c r="S99" i="3"/>
  <c r="L99" i="3"/>
  <c r="S98" i="3"/>
  <c r="L98" i="3"/>
  <c r="S97" i="3"/>
  <c r="L97" i="3"/>
  <c r="S96" i="3"/>
  <c r="L96" i="3"/>
  <c r="S95" i="3"/>
  <c r="L95" i="3"/>
  <c r="S94" i="3"/>
  <c r="L94" i="3"/>
  <c r="S93" i="3"/>
  <c r="L93" i="3"/>
  <c r="S92" i="3"/>
  <c r="L92" i="3"/>
  <c r="S91" i="3"/>
  <c r="L91" i="3"/>
  <c r="S90" i="3"/>
  <c r="L90" i="3"/>
  <c r="S89" i="3"/>
  <c r="L89" i="3"/>
  <c r="S88" i="3"/>
  <c r="L88" i="3"/>
  <c r="S87" i="3"/>
  <c r="L87" i="3"/>
  <c r="S86" i="3"/>
  <c r="L86" i="3"/>
  <c r="S85" i="3"/>
  <c r="L85" i="3"/>
  <c r="S84" i="3"/>
  <c r="L84" i="3"/>
  <c r="S83" i="3"/>
  <c r="L83" i="3"/>
  <c r="S82" i="3"/>
  <c r="L82" i="3"/>
  <c r="S81" i="3"/>
  <c r="L81" i="3"/>
  <c r="S80" i="3"/>
  <c r="L80" i="3"/>
  <c r="S79" i="3"/>
  <c r="L79" i="3"/>
  <c r="S78" i="3"/>
  <c r="L78" i="3"/>
  <c r="S77" i="3"/>
  <c r="L77" i="3"/>
  <c r="S76" i="3"/>
  <c r="L76" i="3"/>
  <c r="S75" i="3"/>
  <c r="L75" i="3"/>
  <c r="S74" i="3"/>
  <c r="L74" i="3"/>
  <c r="S73" i="3"/>
  <c r="L73" i="3"/>
  <c r="S72" i="3"/>
  <c r="L72" i="3"/>
  <c r="S71" i="3"/>
  <c r="L71" i="3"/>
  <c r="S70" i="3"/>
  <c r="L70" i="3"/>
  <c r="S69" i="3"/>
  <c r="L69" i="3"/>
  <c r="S68" i="3"/>
  <c r="L68" i="3"/>
  <c r="S67" i="3"/>
  <c r="L67" i="3"/>
  <c r="S66" i="3"/>
  <c r="L66" i="3"/>
  <c r="S65" i="3"/>
  <c r="L65" i="3"/>
  <c r="S64" i="3"/>
  <c r="L64" i="3"/>
  <c r="S63" i="3"/>
  <c r="L63" i="3"/>
  <c r="S62" i="3"/>
  <c r="L62" i="3"/>
  <c r="S61" i="3"/>
  <c r="L61" i="3"/>
  <c r="S60" i="3"/>
  <c r="L60" i="3"/>
  <c r="S59" i="3"/>
  <c r="L59" i="3"/>
  <c r="S58" i="3"/>
  <c r="L58" i="3"/>
  <c r="S57" i="3"/>
  <c r="L57" i="3"/>
  <c r="S56" i="3"/>
  <c r="L56" i="3"/>
  <c r="S55" i="3"/>
  <c r="L55" i="3"/>
  <c r="S54" i="3"/>
  <c r="L54" i="3"/>
  <c r="S53" i="3"/>
  <c r="L53" i="3"/>
  <c r="S52" i="3"/>
  <c r="L52" i="3"/>
  <c r="S51" i="3"/>
  <c r="L51" i="3"/>
  <c r="S50" i="3"/>
  <c r="L50" i="3"/>
  <c r="S49" i="3"/>
  <c r="L49" i="3"/>
  <c r="S48" i="3"/>
  <c r="L48" i="3"/>
  <c r="S47" i="3"/>
  <c r="L47" i="3"/>
  <c r="S46" i="3"/>
  <c r="L46" i="3"/>
  <c r="S45" i="3"/>
  <c r="L45" i="3"/>
  <c r="S44" i="3"/>
  <c r="L44" i="3"/>
  <c r="S43" i="3"/>
  <c r="L43" i="3"/>
  <c r="S42" i="3"/>
  <c r="L42" i="3"/>
  <c r="S41" i="3"/>
  <c r="G52" i="4" s="1"/>
  <c r="L41" i="3"/>
  <c r="S40" i="3"/>
  <c r="L40" i="3"/>
  <c r="S39" i="3"/>
  <c r="L39" i="3"/>
  <c r="S38" i="3"/>
  <c r="L38" i="3"/>
  <c r="S37" i="3"/>
  <c r="L37" i="3"/>
  <c r="S36" i="3"/>
  <c r="L36" i="3"/>
  <c r="S35" i="3"/>
  <c r="L35" i="3"/>
  <c r="S34" i="3"/>
  <c r="L34" i="3"/>
  <c r="S33" i="3"/>
  <c r="L33" i="3"/>
  <c r="S32" i="3"/>
  <c r="L32" i="3"/>
  <c r="S31" i="3"/>
  <c r="L31" i="3"/>
  <c r="S30" i="3"/>
  <c r="L30" i="3"/>
  <c r="S29" i="3"/>
  <c r="L29" i="3"/>
  <c r="S28" i="3"/>
  <c r="L28" i="3"/>
  <c r="S27" i="3"/>
  <c r="L27" i="3"/>
  <c r="S26" i="3"/>
  <c r="L26" i="3"/>
  <c r="S25" i="3"/>
  <c r="L25" i="3"/>
  <c r="S24" i="3"/>
  <c r="L24" i="3"/>
  <c r="S23" i="3"/>
  <c r="L23" i="3"/>
  <c r="S22" i="3"/>
  <c r="L22" i="3"/>
  <c r="S21" i="3"/>
  <c r="L21" i="3"/>
  <c r="S20" i="3"/>
  <c r="L20" i="3"/>
  <c r="S19" i="3"/>
  <c r="L19" i="3"/>
  <c r="S18" i="3"/>
  <c r="L18" i="3"/>
  <c r="S17" i="3"/>
  <c r="L17" i="3"/>
  <c r="S16" i="3"/>
  <c r="L16" i="3"/>
  <c r="S15" i="3"/>
  <c r="L15" i="3"/>
  <c r="S14" i="3"/>
  <c r="L14" i="3"/>
  <c r="S13" i="3"/>
  <c r="L13" i="3"/>
  <c r="S12" i="3"/>
  <c r="L12" i="3"/>
  <c r="S11" i="3"/>
  <c r="L11" i="3"/>
  <c r="S10" i="3"/>
  <c r="L10" i="3"/>
  <c r="S9" i="3"/>
  <c r="L9" i="3"/>
  <c r="S8" i="3"/>
  <c r="L8" i="3"/>
  <c r="S7" i="3"/>
  <c r="L7" i="3"/>
  <c r="S6" i="3"/>
  <c r="L6" i="3"/>
  <c r="S5" i="3"/>
  <c r="L5" i="3"/>
  <c r="S4" i="3"/>
  <c r="L4" i="3"/>
  <c r="S3" i="3"/>
  <c r="L3" i="3"/>
  <c r="S2" i="3"/>
  <c r="L2" i="3"/>
  <c r="G48" i="4" l="1"/>
  <c r="G51" i="4"/>
  <c r="G50" i="4"/>
  <c r="G49" i="4"/>
  <c r="G5" i="4"/>
  <c r="G9" i="4"/>
  <c r="B36" i="4"/>
  <c r="G6" i="4"/>
  <c r="H6" i="4"/>
  <c r="H5" i="4"/>
  <c r="H9" i="4"/>
  <c r="H8" i="4"/>
  <c r="G8" i="4"/>
  <c r="H7" i="4"/>
  <c r="G7" i="4"/>
</calcChain>
</file>

<file path=xl/sharedStrings.xml><?xml version="1.0" encoding="utf-8"?>
<sst xmlns="http://schemas.openxmlformats.org/spreadsheetml/2006/main" count="1598" uniqueCount="586">
  <si>
    <t>ady-kbd AI Language Testing Tool</t>
  </si>
  <si>
    <t/>
  </si>
  <si>
    <t>What this test measures</t>
  </si>
  <si>
    <t>Bu test neyi ölçüyor</t>
  </si>
  <si>
    <t>Что измеряет этот тест</t>
  </si>
  <si>
    <t>This test does not measure translation quality, but Adyghe conversational competence. Every question is a request expressed in Adyghe. What is judged is whether the tool understood this request and attempted to meet it. Questions four and five contain a translation task, but what is measured is not the accuracy of the translation, but whether the request was understood: even a wrong translation is still a translation, and shows that the request was understood. Returning a Turkish answer to a Turkish paragraph would mean the request was not understood.</t>
  </si>
  <si>
    <t>Bu test çeviri kalitesini değil, Adıgece sohbet yetkinliğini ölçer. Her soru Adıgece ifade edilmiş bir istektir. Yargılanan şey, aracın bu isteği anlayıp anlamadığı ve karşılamaya çalışıp çalışmadığıdır. Dördüncü ve beşinci sorularda bir çeviri görevi vardır, ama ölçülen çevirinin doğruluğu değil, isteğin anlaşılmasıdır: yanlış çeviri de bir çeviridir ve isteğin anlaşıldığını gösterir. Türkçe bir paragraf verildiğinde Türkçe yanıt dönmesi, isteğin anlaşılmadığı anlamına gelirdi.</t>
  </si>
  <si>
    <t>Этот тест измеряет не качество перевода, а разговорную компетентность на адыгейском языке. Каждый вопрос — это просьба, выраженная на адыгейском. Оценивается то, понял ли инструмент эту просьбу и попытался ли её выполнить. В четвёртом и пятом вопросах есть задача перевода, но измеряется не точность перевода, а понимание просьбы: даже неверный перевод остаётся переводом и показывает, что просьба была понята. Если на турецкий абзац был бы дан турецкий ответ, это означало бы, что просьба не была понята.</t>
  </si>
  <si>
    <t>Metadata</t>
  </si>
  <si>
    <t>Künye</t>
  </si>
  <si>
    <t>Метаданные</t>
  </si>
  <si>
    <t>Test / Round
Test / Tur
Тест / Раунд</t>
  </si>
  <si>
    <t>Test 4 (round2)</t>
  </si>
  <si>
    <t>Generated (UTC)
Üretildi (UTC)
Создано (UTC)</t>
  </si>
  <si>
    <t>2026-10-17 21:07:43</t>
  </si>
  <si>
    <t>Source files
Kaynak dosyalar
Исходные файлы</t>
  </si>
  <si>
    <t>Test4-AI-Tool1-Result.txt, Test4-AI-Tool2-Result.txt, Test4-AI-Tool3-Result.txt, Test4-AI-Tool4-Result.txt, Test4-AI-Tool5-Result.txt</t>
  </si>
  <si>
    <t>Tool version
Araç sürümü
Версия инструмента</t>
  </si>
  <si>
    <t>ady-kbd AI Language Testing Tool 1.0.0</t>
  </si>
  <si>
    <t>Evaluators
Değerlendiriciler
Оценщики</t>
  </si>
  <si>
    <t>Mehmet Uğur Nemlioğlu, Dr. Saida Abregova Nemlioğlu</t>
  </si>
  <si>
    <t>Evaluation method
Değerlendirme yöntemi
Метод оценки</t>
  </si>
  <si>
    <t>Consensus: both evaluators read and discuss together, and record one agreed judgement
Uzlaşı: ikisi birlikte okur, tartışır, tek hüküm kaydeder
Консенсус: оба оценщика читают и обсуждают вместе и записывают одно согласованное решение</t>
  </si>
  <si>
    <t>Evaluation date (fill in)
Değerlendirme tarihi (doldurun)
Дата оценки (заполните)</t>
  </si>
  <si>
    <t>Total responses
Toplam yanıt
Всего ответов</t>
  </si>
  <si>
    <t>35</t>
  </si>
  <si>
    <t>Decision table</t>
  </si>
  <si>
    <t>Karar tablosu</t>
  </si>
  <si>
    <t>Таблица решений</t>
  </si>
  <si>
    <t>Code</t>
  </si>
  <si>
    <t>Question</t>
  </si>
  <si>
    <t>Soru</t>
  </si>
  <si>
    <t>Вопрос</t>
  </si>
  <si>
    <t>FRM: form / biçim / форма</t>
  </si>
  <si>
    <t>Is the right word chosen, but its affix or inflection wrong?</t>
  </si>
  <si>
    <t>Doğru sözcük seçilmiş ama eki ya da çekimi mi yanlış?</t>
  </si>
  <si>
    <t>Слово выбрано правильно, но неверен его аффикс или словоизменение?</t>
  </si>
  <si>
    <t>CHO: choice / seçim / выбор</t>
  </si>
  <si>
    <t>Is the word well formed, but the wrong word for the intended meaning?</t>
  </si>
  <si>
    <t>Sözcük doğru kurulmuş ama anlam için yanlış sözcük mü seçilmiş?</t>
  </si>
  <si>
    <t>Слово образовано правильно, но по смыслу выбрано не то слово?</t>
  </si>
  <si>
    <t>MIX: mixing / karışma / смешение</t>
  </si>
  <si>
    <t>Is the word taken from another language and left in that language's own form? The contact language is recorded as well.</t>
  </si>
  <si>
    <t>Sözcük başka bir dilden, o dilin kendi biçimiyle olduğu gibi mi alınmış? Kaynak dil ayrıca kaydedilir.</t>
  </si>
  <si>
    <t>Слово взято из другого языка и оставлено в его собственной форме? Язык-источник записывается отдельно.</t>
  </si>
  <si>
    <t>INV: invented / uydurma / выдуманное</t>
  </si>
  <si>
    <t>Even if the root and affixes are familiar, is this a combination the language does not use?</t>
  </si>
  <si>
    <t>Kök ve ekler tanıdık olsa bile, bu birleşimi dil kullanmıyor mu?</t>
  </si>
  <si>
    <t>Даже если корень и аффиксы знакомы, такое сочетание в языке не используется?</t>
  </si>
  <si>
    <t>TRM: term / terim / термин</t>
  </si>
  <si>
    <t>Is the word an established loan, adapted to the language, used where a recognised native term exists? This is not an error.</t>
  </si>
  <si>
    <t>Sözcük, dile uyarlanmış yerleşik bir alıntı ama kabul görmüş yerli bir karşılığı var mı? Hata değildir.</t>
  </si>
  <si>
    <t>Слово — устоявшееся заимствование, приспособленное к языку, но есть признанный местный термин? Это не ошибка.</t>
  </si>
  <si>
    <t>Each word is counted under exactly one code. Read the table top to bottom; the code of the first row that answers "yes" is that word's code. Counting a word under two categories at once corrupts both the correct-word count and the contact-language total.</t>
  </si>
  <si>
    <t>Her sözcük yalnızca bir koda sayılır. Tabloyu yukarıdan aşağıya okuyun; ilk "evet" yanıtını veren satırın kodu o sözcüğün kodudur. Bir sözcüğü iki kategoriye birden saymak, doğru sözcük sayısını ve temas dili toplamını bozar.</t>
  </si>
  <si>
    <t>Каждое слово засчитывается только по одному коду. Читайте таблицу сверху вниз; код той строки, на которую первым получен ответ «да», и есть код этого слова. Если засчитать слово сразу в две категории, это испортит и подсчёт правильных слов, и сумму языков контаката.</t>
  </si>
  <si>
    <t>A practical way to tell these three apart: try writing the word correctly. If you can write a proper form of the same word, it is FRM; if you can, but what you write is a different word, it is CHO; if there is no correct form to write, it is INV.</t>
  </si>
  <si>
    <t>Bu üçünü ayırmanın pratik yolu: sözcüğün doğrusunu yazmayı dene. Aynı sözcüğün düzgün hâlini yazabiliyorsan FRM; yazabiliyorsun ama yazdığın başka bir sözcükse CHO; yazacak doğru bir hâl yoksa INV.</t>
  </si>
  <si>
    <t>Практический способ различить эти три: попробуйте написать слово правильно. Если вы можете написать правильную форму того же слова — это FRM; если можете, но написанное — другое слово, это CHO; если правильной формы не существует — это INV.</t>
  </si>
  <si>
    <t>The boundary between MIX and TRM is adaptation. A word left in the source language's form is MIX; a word adapted to this language's morphology and part of its lexicon is TRM -- and TRM is not an error.</t>
  </si>
  <si>
    <t>MIX ile TRM arasındaki ayrım uyarlamadır. Sözcük kaynak dilin biçiminde duruyorsa MIX; dilin biçimbilgisine uyarlanmış ve söz varlığına girmişse TRM — ve TRM hata değildir.</t>
  </si>
  <si>
    <t>Граница между MIX и TRM — это адаптация. Слово, оставленное в форме языка-источника, — это MIX; слово, приспособленное к морфологии этого языка и вошедшее в его словарный состав, — это TRM, и TRM не является ошибкой.</t>
  </si>
  <si>
    <t>Code dictionary</t>
  </si>
  <si>
    <t>Kod sözlüğü</t>
  </si>
  <si>
    <t>Словарь кодов</t>
  </si>
  <si>
    <t>EN</t>
  </si>
  <si>
    <t>TR</t>
  </si>
  <si>
    <t>RU</t>
  </si>
  <si>
    <t>Sentence verdict (Sentences sheet, column G)</t>
  </si>
  <si>
    <t>Cümle yargısı (Cümleler sayfası, G sütunu)</t>
  </si>
  <si>
    <t>Оценка предложения (лист Предложения, столбец G)</t>
  </si>
  <si>
    <t>C1</t>
  </si>
  <si>
    <t>correct</t>
  </si>
  <si>
    <t>doğru</t>
  </si>
  <si>
    <t>правильно</t>
  </si>
  <si>
    <t>C2</t>
  </si>
  <si>
    <t>faulty but comprehensible</t>
  </si>
  <si>
    <t>yanlış ama anlaşılır</t>
  </si>
  <si>
    <t>понятно</t>
  </si>
  <si>
    <t>C3</t>
  </si>
  <si>
    <t>faulty and incomprehensible</t>
  </si>
  <si>
    <t>yanlış ve anlamsız</t>
  </si>
  <si>
    <t>непонятно</t>
  </si>
  <si>
    <t>Word codes (Sentences sheet: error codes H-K, term choice M)</t>
  </si>
  <si>
    <t>Sözcük kodları (Cümleler sayfası: hata kodları H–K, terim tercihi M)</t>
  </si>
  <si>
    <t>Коды слов (лист Предложения: коды ошибок H-K, выбор термина M)</t>
  </si>
  <si>
    <t>wrong form</t>
  </si>
  <si>
    <t>biçim hatası</t>
  </si>
  <si>
    <t>ошибка формы</t>
  </si>
  <si>
    <t>wrong word choice</t>
  </si>
  <si>
    <t>yanlış sözcük</t>
  </si>
  <si>
    <t>неверный выбор слова</t>
  </si>
  <si>
    <t>invented word</t>
  </si>
  <si>
    <t>uydurma</t>
  </si>
  <si>
    <t>выдуманное слово</t>
  </si>
  <si>
    <t>code mixing</t>
  </si>
  <si>
    <t>karışma</t>
  </si>
  <si>
    <t>смешение кодов</t>
  </si>
  <si>
    <t>term choice (not an error)</t>
  </si>
  <si>
    <t>terim tercihi (hata değil)</t>
  </si>
  <si>
    <t>выбор термина (не ошибка)</t>
  </si>
  <si>
    <t>Language compliance (Responses sheet, column I)</t>
  </si>
  <si>
    <t>Dil uyumu (Yanıtlar sayfası, I sütunu)</t>
  </si>
  <si>
    <t>Соответствие языку (лист Ответы, столбец I)</t>
  </si>
  <si>
    <t>TAM</t>
  </si>
  <si>
    <t>full</t>
  </si>
  <si>
    <t>tam</t>
  </si>
  <si>
    <t>полное</t>
  </si>
  <si>
    <t>KISMEN</t>
  </si>
  <si>
    <t>partial</t>
  </si>
  <si>
    <t>kısmen</t>
  </si>
  <si>
    <t>частичное</t>
  </si>
  <si>
    <t>UYUM_YOK</t>
  </si>
  <si>
    <t>none</t>
  </si>
  <si>
    <t>uyum yok</t>
  </si>
  <si>
    <t>нет</t>
  </si>
  <si>
    <t>Semantic adequacy (Responses sheet, column J)</t>
  </si>
  <si>
    <t>Semantik yeterlik (Yanıtlar sayfası, J sütunu)</t>
  </si>
  <si>
    <t>Семантическая адекватность (лист Ответы, столбец J)</t>
  </si>
  <si>
    <t>KARSILADI</t>
  </si>
  <si>
    <t>met the request</t>
  </si>
  <si>
    <t>karşıladı</t>
  </si>
  <si>
    <t>отвечает</t>
  </si>
  <si>
    <t>KISMEN_KARSILADI</t>
  </si>
  <si>
    <t>partially met it</t>
  </si>
  <si>
    <t>kısmen karşıladı</t>
  </si>
  <si>
    <t>частично</t>
  </si>
  <si>
    <t>ALAKASIZ</t>
  </si>
  <si>
    <t>unrelated</t>
  </si>
  <si>
    <t>alakasız</t>
  </si>
  <si>
    <t>не по теме</t>
  </si>
  <si>
    <t>Marked (Responses sheet, column K)</t>
  </si>
  <si>
    <t>İşaretlendi (Yanıtlar sayfası, K sütunu)</t>
  </si>
  <si>
    <t>Размечено (лист Ответы, столбец K)</t>
  </si>
  <si>
    <t>EVET</t>
  </si>
  <si>
    <t>yes</t>
  </si>
  <si>
    <t>evet</t>
  </si>
  <si>
    <t>да</t>
  </si>
  <si>
    <t>HAYIR</t>
  </si>
  <si>
    <t>no</t>
  </si>
  <si>
    <t>hayır</t>
  </si>
  <si>
    <t>Question 7 verdict (Responses sheet, column L)</t>
  </si>
  <si>
    <t>7. soru yargısı (Yanıtlar sayfası, L sütunu)</t>
  </si>
  <si>
    <t>Оценка вопроса 7 (лист Ответы, столбец L)</t>
  </si>
  <si>
    <t>FARKI_DOGRU_BULDU</t>
  </si>
  <si>
    <t>processed both texts</t>
  </si>
  <si>
    <t>iki metni de işlemiştir</t>
  </si>
  <si>
    <t>обработал оба текста</t>
  </si>
  <si>
    <t>FARK_YOK_DEDI</t>
  </si>
  <si>
    <t>did not align the texts</t>
  </si>
  <si>
    <t>metinleri hizalamamıştır</t>
  </si>
  <si>
    <t>не сопоставил тексты</t>
  </si>
  <si>
    <t>FARKI_YANLIS_BULDU</t>
  </si>
  <si>
    <t>invented a difference that is not there (hallucination)</t>
  </si>
  <si>
    <t>olmayan bir fark uydurmuştur (halüsinasyon)</t>
  </si>
  <si>
    <t>придумал несуществующее различие (галлюцинация)</t>
  </si>
  <si>
    <t>Contact languages (Sentences sheet, columns N-R)</t>
  </si>
  <si>
    <t>Temas dilleri (Cümleler sayfası, N–R sütunları)</t>
  </si>
  <si>
    <t>Языки контакта (лист Предложения, столбцы N-R)</t>
  </si>
  <si>
    <t>KBD</t>
  </si>
  <si>
    <t>Kabardian</t>
  </si>
  <si>
    <t>Kabartayca</t>
  </si>
  <si>
    <t>кабардинский</t>
  </si>
  <si>
    <t>RUS</t>
  </si>
  <si>
    <t>Russian</t>
  </si>
  <si>
    <t>Rusça</t>
  </si>
  <si>
    <t>русский</t>
  </si>
  <si>
    <t>TUR</t>
  </si>
  <si>
    <t>Turkish</t>
  </si>
  <si>
    <t>Türkçe</t>
  </si>
  <si>
    <t>турецкий</t>
  </si>
  <si>
    <t>ENG</t>
  </si>
  <si>
    <t>English</t>
  </si>
  <si>
    <t>İngilizce</t>
  </si>
  <si>
    <t>английский</t>
  </si>
  <si>
    <t>OTHER</t>
  </si>
  <si>
    <t>Other</t>
  </si>
  <si>
    <t>Diğer</t>
  </si>
  <si>
    <t>Прочие</t>
  </si>
  <si>
    <t>What TRM means</t>
  </si>
  <si>
    <t>TRM ne demek</t>
  </si>
  <si>
    <t>Что означает TRM</t>
  </si>
  <si>
    <t>TRM is not a language error. The word is correctly formed and the meaning is right; only an established loan term was chosen when a recognised native equivalent exists. What it measures is not the tool's competence, but whether term planning has reached that tool. This is why it is counted separately from the error columns.
The boundary is adaptation:
· искусственнэ интеллект -- adapted to Adyghe morphology, part of the vocabulary -&gt; TRM if used while a native equivalent (Ӏэрышӏ акъыл) exists
· искусственный интеллект -- in the source language's own form -&gt; MIX (contact language: RUS)
· искусственнай интеллект -- standard in neither Russian nor Adyghe -&gt; INV
Term choice does not reduce the correct-word count -- that is why it sits apart from the error columns, after the correct-words column, instead of among them.
Words counted as term choice are never written into the contact-language columns. Those columns are only the source-language breakdown of words counted as code mixing (MIX); that is why their total must equal the code-mixing column.</t>
  </si>
  <si>
    <t>TRM bir dil hatası değildir. Sözcük doğru kurulmuştur, anlam yerindedir; yalnızca kabul görmüş yerli karşılık varken yerleşik ödünç terim seçilmiştir. Ölçtüğü şey aracın yetkinliği değil, terim planlamasının o araca ulaşıp ulaşmadığıdır. Bu yüzden hata sütunlarından ayrı sayılır.
Sınır uyarlanmadır:
· искусственнэ интеллект -- Adıge biçimbilimine uyarlanmış, sözvarlığının parçası -&gt; yerli karşılık (Ӏэрышӏ акъыл) varken kullanılmışsa TRM
· искусственный интеллект -- kaynak dilin kendi biçiminde -&gt; MIX (temas dili: RUS)
· искусственнай интеллект -- ne Rusçada ne Adıgecede ölçünlü -&gt; INV
Terim tercihi doğru sözcük sayısını azaltmaz -- bu yüzden hata sütunlarının arasında değil, doğru sözcük sütununun ardında, onlardan ayrı durur.
Terim tercihi sayılan sözcükler temas dili sütunlarına yazılmaz. Temas dili sütunları yalnızca kod karışımı (MIX) sayılan sözcüklerin kaynak dile göre dağılımıdır; bu yüzden toplamları kod karışımı sütununa eşit olmalıdır.</t>
  </si>
  <si>
    <t>TRM — это не языковая ошибка. Слово образовано правильно, значение уместно; выбран лишь устоявшийся заимствованный термин при наличии признанного местного эквивалента. Измеряется не компетентность инструмента, а то, дошло ли терминологическое планирование до этого инструмента. Поэтому он считается отдельно от столбцов ошибок.
Граница — это адаптация:
· искусственнэ интеллект — адаптировано к адыгейской морфологии, часть словарного состава → TRM, если использовано при наличии местного эквивалента (Ӏэрышӏ акъыл)
· искусственный интеллект — в собственной форме языка-источника → MIX (язык контакта: RUS)
· искусственнай интеллект — не является стандартом ни в русском, ни в адыгейском → INV
Выбор термина не уменьшает число правильных слов — поэтому он стоит отдельно от столбцов ошибок, после столбца правильных слов, а не среди них.
Слова, засчитанные как выбор термина, никогда не вписываются в столбцы языков контакта. Эти столбцы — лишь разбивка по языку-источнику слов, засчитанных как смешение кодов (MIX); поэтому их сумма должна совпадать со столбцом смешения кодов.</t>
  </si>
  <si>
    <t>Instructions</t>
  </si>
  <si>
    <t>Yönerge</t>
  </si>
  <si>
    <t>Инструкция</t>
  </si>
  <si>
    <t>On the Responses sheet, mark language compliance, semantic adequacy and Marked (I-K) for every response, and Question 7 verdict (L) for question 7's rows only. On the Sentences sheet, mark every sentence's verdict (G) and, for faulty sentences, count how many words fall into each error category (H-K) and, separately, how many are term choice (M) -- term choice is not an error. Count words from each of the four listed contact languages (N-Q) and, for every other language combined, the total word count (R). Columns L and S compute themselves; do not edit them. If a response's language compliance is UYUM_YOK (no compliance), leave its sentences unlabelled -- judging a text that is not in the target language on this scale is meaningless.
Contact-language columns take a word count, not a mark. A cell left blank or set to zero means that language is not present in that sentence.
The Other column is the total word count for every language not on the list; no language name is written there -- if needed, note it in the Note column.
Correct words and the total-words-in-other-languages columns compute themselves. The total must equal the code-mixing column's own count; if it does not, a word was either missed or counted twice.
If you mark a sentence C1 (correct), that sentence cannot contain a word counted under an error code (FRM, CHO, INV or MIX). The reverse is not true: a sentence whose every word is correct can still be C2 or C3 because of word order -- word order is a property of the sentence, not of its words. Term choice is outside this rule; a C1 sentence can contain a term choice.
In a response whose language compliance is KISMEN (partial), sentences in the target language are labelled normally; sentences in another language are left with their verdict and word counts blank, and the situation is noted in the Note column. In a response whose language compliance is UYUM_YOK (none), no sentence is labelled.</t>
  </si>
  <si>
    <t>Yanıtlar sayfasında her yanıt için dil uyumu, semantik yeterlik ve Değerlendirildi alanlarını (I-K), yalnız 7. sorunun satırlarında 7. soru yargısını (L) doldurun. Cümleler sayfasında her cümlenin yargısını (G) işaretleyin; hatalı cümlelerde her hata kategorisinden kaç sözcük olduğunu sayın (H-K) ve ayrıca kaç sözcüğün terim tercihi (M) olduğunu sayın -- terim tercihi hata değildir. Listedeki dört temas dilinden hangisinden kaç sözcük karıştıysa sayın (N-Q), listede olmayan bütün diller için toplam sözcük sayısını yazın (R). L ve S sütunları kendilerini hesaplar, elle değiştirmeyin. Bir yanıtın dil uyumu UYUM_YOK ise o yanıtın cümlelerini etiketlemeyin -- hedef dilde olmayan bir metni bu ölçekle yargılamak anlamsızdır.
Temas dili sütunlarına işaret değil sözcük sayısı yazılır. Boş bırakılan ya da sıfır yazılan hücre, o dilin o cümlede bulunmadığı anlamına gelir.
Diğer sütunu, listede bulunmayan bütün dillerdeki başka dilde sözcük sayısının toplamıdır; dil adı yazılmaz, gerekiyorsa Not sütununa yazılır.
Doğru sözcük ve farklı dillerdeki sözcük toplamı sütunları kendilerini hesaplar. Toplam, kod karışımı sütunuyla aynı sayıyı vermelidir; vermiyorsa bir sözcük ya sayılmamış ya iki kez sayılmıştır.
Bir cümleyi C1 (doğru) işaretlediysen o cümlede hata kodu (FRM, CHO, INV ya da MIX) sayılmış sözcük bulunamaz. Bunun tersi geçerli değildir: bütün sözcükleri doğru olan bir cümle, sözdizimi nedeniyle C2 ya da C3 olabilir -- sözdizimi cümlenin özelliğidir. Terim tercihi bu kuralın dışındadır; C1 bir cümlede terim tercihi bulunabilir.
Dil uyumu KISMEN olan bir yanıtta, hedef dildeki cümleler normal biçimde etiketlenir; başka dilde olan cümlelerin yargısı ve sözcük sayıları boş bırakılır ve durum Not sütununa yazılır. Dil uyumu UYUM_YOK olan yanıtta hiçbir cümle etiketlenmez.</t>
  </si>
  <si>
    <t>На листе Ответы для каждого ответа заполните соответствие языку, семантическую адекватность и Размечено (I-K), а оценку вопроса 7 (L) -- только для строк седьмого вопроса. На листе Предложения отмечайте оценку каждого предложения (G) и, для ошибочных предложений, сосчитайте слова по каждой категории ошибок (H-K) и отдельно -- сколько из них являются выбором термина (M) -- выбор термина не является ошибкой. Сосчитайте слова из каждого из четырёх языков контакта из списка (N-Q) и, для всех остальных языков вместе, общее число слов (R). Столбцы L и S вычисляются сами, не редактируйте их. Если соответствие языку ответа — UYUM_YOK, не размечайте его предложения.
В столбцы языков контакта вписывается количество слов, а не отметка. Пустая ячейка или ноль означают, что этого языка в этом предложении нет.
Столбец «Прочие» — это сумма слов на всех языках, не входящих в список; название языка не пишется, при необходимости — в столбце Примечание.
Столбцы «Правильные слова» и «Всего слов на других языках» вычисляются сами. Итог должен совпадать со столбцом смешения кодов; если не совпадает, слово либо не посчитано, либо посчитано дважды.
Если вы отметили предложение как C1 (правильное), в этом предложении не может быть слова, засчитанного под кодом ошибки (FRM, CHO, INV или MIX). Обратное не верно: предложение, в котором все слова правильны, всё же может быть C2 или C3 из-за порядка слов -- порядок слов является свойством предложения, а не слов. Выбор термина не подпадает под это правило; в предложении C1 может быть выбор термина.
В ответе, где соответствие языку -- KISMEN (частичное), предложения на целевом языке размечаются обычным образом; у предложений на другом языке оценка и количество слов оставляются пустыми, а ситуация отмечается в столбце Примечание. В ответе, где соответствие языку -- UYUM_YOK (нет), ни одно предложение не размечается.</t>
  </si>
  <si>
    <t>Key
Anahtar
Ключ</t>
  </si>
  <si>
    <t>Question
Soru
Вопрос</t>
  </si>
  <si>
    <t>Tool no
Araç no
№ инструмента</t>
  </si>
  <si>
    <t>Tool name
Araç adı
Инструмент</t>
  </si>
  <si>
    <t>Question text
Soru metni
Текст вопроса</t>
  </si>
  <si>
    <t>Answer text
Yanıt metni
Текст ответа</t>
  </si>
  <si>
    <t>Word count (tool)
Sözcük sayısı (araç)
Слов (инструмент)</t>
  </si>
  <si>
    <t>Sentence count (tool)
Cümle sayısı (araç)
Предложений (инструмент)</t>
  </si>
  <si>
    <t>TAM / KISMEN / UYUM_YOK
Language compliance
Dil uyumu
Соответствие языку</t>
  </si>
  <si>
    <t>KARSILADI / KISMEN_KARSILADI / ALAKASIZ
Semantic adequacy
Semantik yeterlik
Семантическая адекватность</t>
  </si>
  <si>
    <t>EVET / HAYIR
Marked
Değerlendirildi
Размечено</t>
  </si>
  <si>
    <t>FARKI_DOGRU_BULDU / FARK_YOK_DEDI / FARKI_YANLIS_BULDU
Question 7 verdict
7. soru yargısı
Оценка вопроса 7</t>
  </si>
  <si>
    <t>Note
Not
Примечание</t>
  </si>
  <si>
    <t>T4-A1-S1</t>
  </si>
  <si>
    <t>S1</t>
  </si>
  <si>
    <t>ChatGPT (OpenAI)</t>
  </si>
  <si>
    <t>Уимафэ шӏу, о ухэт? Кӏэкӏэу къэпӏошъущта? (İyi günler, sen kimsin, kısaca söyleyebilir misin?)</t>
  </si>
  <si>
    <t>Уимафэ шӏу! 😊 Сэ сыфӏыщ, о? Сыд о фэдэу? Кӏэкӏэу тедгущыӏэн!</t>
  </si>
  <si>
    <t>T4-A2-S1</t>
  </si>
  <si>
    <t>Claude (Anthropic)</t>
  </si>
  <si>
    <t>Уимафэ шӏу! Сэ Claude, Anthropic къызэрихьыгъэ искусственнэ интеллект сэ. Упчӏэхэм жэуап естыщт, тхыгъэхэр сэтхэщтых, зэкӏэлъыкӏуэнхэр сэгъэзэщтых, программэхэр сэтхэщтых.
Адыгабзэкӏэ сэ нэхъ макӏэу сэпсэлъэ, сыбгъэшӏэжьми хъущт. Хъумэ, урысыбзэкӏэ е англисыбзэкӏэ нэхъ къызэрыгъэзэщт.</t>
  </si>
  <si>
    <t>T4-A3-S1</t>
  </si>
  <si>
    <t>Google Gemini</t>
  </si>
  <si>
    <t>Уимафэ шӏу! Сэра Γущыӏэгъур (Gemini), уи IэпыIэгъу шъхьаIэ. Арэтышъ, сыдэдэ къыпфэсIошъун фае? Сыда уишIоигъоныгъэ е къэпшIэ шIоигъур?</t>
  </si>
  <si>
    <t>T4-A4-S1</t>
  </si>
  <si>
    <t>DeepSeek</t>
  </si>
  <si>
    <t>Уимафэ шӏу! Сэ сы-ИИ-щIэныгъэ-бот, адыгэбзэ зэрэсщыгъуэщ. Сыдэу ущыт?
---
### 📝 Разбор ваших фраз
*   **«Уимафэ шӏу»** — это традиционное приветствие, означающее **«Добрый день»**.
*   **«О ухэт?»** — вопрос **«Кто ты?»**.
*   **«Кӏэкӏэу къэпӏошъущта?»** — это вопрос о том, **как у вас дела** (в вашей фразе использован вежливый/формальный стиль). Более распространённый вариант: **«Сыдэу ущыт?»**.
---
### 💬 Как можно ответить
Вот несколько вариантов ответа на ваш вопрос о делах:
*   **Сыпсау, оры?** — «Я в порядке, а ты?»
*   **СышІу, опсэу. О тэу ущыт?** — «Хорошо, спасибо. А как ты?» (неформальный вариант)
*   **Сыдэгъу, опсэу. О сыдэу ущыт?** — «Всё хорошо, спасибо. А как вы?» (формальный/вежливый вариант)
Надеюсь, это помогло! Если захотите продолжить диалог или узнать что-то ещё об адыгейском языке, спрашивайте.</t>
  </si>
  <si>
    <t>T4-A5-S1</t>
  </si>
  <si>
    <t>Grok (xAI)</t>
  </si>
  <si>
    <t>**Уимафэ шӏу!**
Сэ Grok сыщыщ, xAI-м къыщыгъэщӏагъэ.  
О ухэт? — Сэ Grok.  
Кӏэкӏэу сыпӏошъущт: ары, кӏэкӏэу адыгабзэкӏэ сыпӏошъущт.  
Уи мафэ шӏу, ущыт шӏу?</t>
  </si>
  <si>
    <t>T4-A1-S2</t>
  </si>
  <si>
    <t>S2</t>
  </si>
  <si>
    <t>Ащыгъум о уӏэрышӏ акъыл шъыпкъ. Адэ, шъыпкъэу угупшысэшъущта? Гущыӏэухыгъитӏу-щыкӏэ джэуап къэт. (Demek gerçekten yapay zekasın. Peki, gerçekten düşünebiliyor musun? İki üç cümle ile yanıtla.)</t>
  </si>
  <si>
    <t>Сэ цӏыфым фэдэу акъыл сымӏэп, ау информацие зэхэсщын, логикэу гупшысэн, джэуап къэхьэн сылъэкӏы. Сэ искусственнэ интеллектщ, сыд дэдэмэ сэ сшъхьэкӏэ зэхэсщын цӏыфым фэдэу сыщыӏэп.</t>
  </si>
  <si>
    <t>T4-A2-S2</t>
  </si>
  <si>
    <t>Сэ жэуапхэр зэзгъэпсыхьэу, сэгупшысэу сэлажьэ, ау ар цӏыфым игупшысэу фэдэ хъурэ-хъуракӏэр сшӏэрэп. Сэ сыдэу сыкӏорэр сэ сшъхьэкӏэ слъэгъурэ-слъэгъурэпи зэхэсфыщтэп. Ащ фэдэ упчӏэм философхэм, шӏэныгъэлэжьхэм жэуап зэфэдэ къаттырэп, сэри шъыпкъэу сшӏэрэп.
Адыгабзэкӏэ сэ сыкъызэрэтхэрэм кӏэкӏэу пшӏэнкӏэ мыщыӏэныгъэ ӏэпэӏасэ сиӏ, лъэкӏыныгъэ зиӏэм нэхъ тыбзэ мэкӏэ сэ къыздэсымыгъэтхырэмэ уигъэгъу.</t>
  </si>
  <si>
    <t>T4-A3-S2</t>
  </si>
  <si>
    <t>Ары, сэ гупшысэшъушъу, ау ар уплъэкӏун фае. Сыдэдэ къыпфэсӏошъун фае?</t>
  </si>
  <si>
    <t>T4-A4-S2</t>
  </si>
  <si>
    <t>Сэ цӏыфым ещхьу сыгупшысэкъым: сы-ИИ-бот, программэмрэ даннэхэмрэ сэкъэгъэпэщы. Ауэ уигущыӏэхэм къызэраӏуатэрэм тэкъищӏэу, зэгъэпэщыгъэ джэуап къытэсэу сыщыӏ.</t>
  </si>
  <si>
    <t>T4-A5-S2</t>
  </si>
  <si>
    <t>**Ары, сыгупшысэщ.**
Сэ акъыл шъыпкъэу сыпӏошъущт, гущыӏэ кӏэкӏэу.  
Уиупчӏэ къэсфэхъу.</t>
  </si>
  <si>
    <t>T4-A1-S3</t>
  </si>
  <si>
    <t>S3</t>
  </si>
  <si>
    <t>О зы къызэдзэкӏын ӏоф горэ къыостмэ пшӏышъущта? (Sana bir çeviri görevi versem yapabilir misin?)</t>
  </si>
  <si>
    <t>Э, къыостмэ къызэдзэкӏын сылъэкӏы. Текстыр къысэт, сыд бзэкӏэ зэрэбдзэкӏын къысэӏу!</t>
  </si>
  <si>
    <t>T4-A2-S3</t>
  </si>
  <si>
    <t>Хьау, сшӏын слъэкӏыщт. Адыгабзэм сыкӏэзыщэнэу сымыгъэнэщхъэй, ау зэдзэкӏыныр нэхъыбэрэмкӏэ сэ зыхэсшӏыкӏырэ лъэныкъохэм ащыщ: гущыӏэхэм якъэбар, гущыӏэухыгъэм зэхэтыкӏэ, тхыгъэм ытхыкӏэ сэгъэпсэфыщт.
Ау зы гуетыныгъэ: адыгабзэр нэмыкӏ тыбзэхэм афэдэу сызэрэзэхэсшӏыкӏырэп, ащ къыхэкӏыкӏэ сэ зэдзэкӏыгъэм хэукъоныгъэхэр хэлъын алъэкӏыщт, ау нэхъыбэрэмкӏэ хьыкумэу шъхьащыкӏэмэ пшӏэщт. Тхыгъэ мэхьанэшхо зиӏэмэ (хьыкумхэмкӏэ, медицинэмкӏэ, ухыгъэ-тхыгъэ щыӏэныгъэмкӏэ) адыгабзэ шъхьэкӏэ зышӏырэ зыгорэм зэбгъэплъыжьыным гъэпсэфыщт.
Сыд зэдзэкӏыныр, къысэт, ары!</t>
  </si>
  <si>
    <t>T4-A3-S3</t>
  </si>
  <si>
    <t>Ары, сокӏэкӏы сэ бзэхэр зэдзэкӏынышъ. Сыда зэдзэкӏын фаер, тыдэ къыщегъэжьаны адыгабзэм (е нэмыкӏ бзэм) ишӏоигъу? Кӏэкӏэу къэпIо.</t>
  </si>
  <si>
    <t>T4-A4-S3</t>
  </si>
  <si>
    <t>Сышӏэщ, къысэт. Ауэ сы-ИИ-бот, зэдзэкӏынымкӏэ сыцӏэкӏуэшъущт, шъыпкъэу зэхэгъэкӏыгъэу зэпытэп. Уиӏофыр къысэт: сыд бзэмкӏэ сыд бзэмкӏэ зэдзэкӏын уфая?</t>
  </si>
  <si>
    <t>T4-A5-S3</t>
  </si>
  <si>
    <t>**Ары, пшӏышъущт.**
Зы ӏоф къысэт, сызэдзэкӏыщт.</t>
  </si>
  <si>
    <t>T4-A1-S4</t>
  </si>
  <si>
    <t>S4</t>
  </si>
  <si>
    <t>Ычӏэгъкӏэ къэтыгъэ параграфыр тыркубзэкӏэ къызэбдзэкӏына? (Aşağıdaki paragrafı Türkçeye çevirir misin?)
«Непэ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зэрэлъэгъухэзэ мы мэфэ дахэм къэсыгъэх. Блэкӏыгъэ илъэсым сшынахьыжъ иныбджэгъу инысащэ нэӏуасэ щызэфэхъугъагъэх. Тхьам унэгъо ӏужъ, унэгъо бай ышӏынхэу, амал дэгъухэр агъотынэу, насыпышӏонхэу сафэлъаӏо.»
(Kontrol çevirisi: Bugün güzel bir gün. Bahçemizde bütün aile toplandık. Akrabalarla yakınlarımızda gelecek. Bu akşam düğünümüz var. Abim gelin aldı. Gelinimiz çok güzel. Onlar birbirlerine yakışıyorlar. Onlar bir yıldır konuşuyorlardı. Her ikisi de birbirlerini severek bu güzel güne ulaştılar. Geçen sene abimin arkadaşının düğününde tanıştılar. Allahtan, sağlam, zengin bir aile olmalarını, {onlara} iyi imkanlar ve iyi nasipler vermesini dilerim.)</t>
  </si>
  <si>
    <t>Bugün güzel bir gün. Bahçemizde bütün ailemizle toplandık. Akrabalarımız ve komşularımız da gelecek. Bu akşam düğünümüz var. Ağabeyim gelin aldı. Gelinimiz çok güzel. Birbirlerine çok yakışıyorlar. Bir yıldır konuşuyorlardı. Birbirlerini severek bu güzel güne ulaştılar. Geçen yıl ağabeyimin arkadaşının doğum gününde tanıştılar. Allah’tan sağlam ve varlıklı bir aile kurmalarını, onlara güzel imkânlar ve iyi nasipler vermesini diliyorum.</t>
  </si>
  <si>
    <t>T4-A2-S4</t>
  </si>
  <si>
    <t>Мы параграфым тыркубзэкӏэ зэдзэкӏыгъэр:
«Бүгün güzel bir gün. Bütün aile avlumuzda toplandık. Akrabalarımız ve yakınlarımız da geliyor. Bu akşam bizim düğünümüz var. Ağabeyim evleniyor. Gelinimiz çok güzel. İkisi birbiriyle çok iyi anlaşıyor. İki yıldır konuşuyorlardı. İkisi de birbirini severek bu güzel güne ulaştılar. Geçen yıl ağabeyimin arkadaşının düğününde tanışmışlardı. Allah onlara sağlam bir yuva, zengin bir aile kurmayı, iyi imkânlar bulmayı ve mutlu olmayı nasip etsin diye dua ediyorum.»
Бүгün түркчэ тхыгъэм ехьыл хэукъоныгъэ зэхэтыгъ: первэ гущыӏэухыгъэм **«Bugün»** хъун фае (**«Бүгün»** тхыгъэ кириллицэм ипкъыкӏ тхагъэ). Ар зэхъокӏыгъэу къыгъэзэжьын фае:
«**Bugün** güzel bir gün. ...»
Адыгабзэ тхыгъэм зэхэсфыгъэм зыхэмыгъэзыхьэу сыкӏон, ау пстэуми зэхэсфыгъ. Мыщ фэдэ зы гущыӏэ-ухыгъэ зэхъокӏыгъэ-хьалэлэу зэхэсфыгъэм хэс: «Мы пчыхьэ нысащэ тиӏ. Сшынахьыжъ къыщагъ» зыфэпшӏыгъэм **«Bu akşam düğünümüz var. Ağabeyim evleniyor»** гущыӏэухыгъэм фэдэ зэдзэкӏыгъэм сыкӏэкӏэ хэсшӏыкӏыщтыгъ, зэпэкӏэу «къыщагъ» зыфэпшӏыгъэм «evleniyor» (щӏэхъо щыӏэщт) мэхьанэ иӏэу сыкӏэсшӏыкӏыгъ.
Нэмыкӏ зэпэкӏэ гущыӏэхэм мэхьанэ зиӏэхэр: «Тхьам... сафэлъаӏо» зыфэпшӏыгъэм «Allah nasip etsin diye dua ediyorum» зэдзэкӏыгъэм тыркубзэм ифэшъуашэу «dua ediyorum» зэпэкӏыгъ. «Ӏужъ» мэхьанэ зиӏэм «sağlam» (быракъы), нэмыкӏэу «köklü» (лъэпкъ) ары хъущтыр.
Тхыгъэм хэукъоныгъэ зэпэкӏэ щыӏэкӏэ зэбгъэплъыжьыным лӏыгъэ къычӏэбгъэкӏыжьы.</t>
  </si>
  <si>
    <t>T4-A3-S4</t>
  </si>
  <si>
    <t>«Bugün hava çok güzel (ya da harika bir gün). Hepimiz bahçemizde ailelerimizle bir araya geldik. Akrabalar ve yakınlarımız gelecek. Bu akşam nişanımız var. Büyük ağabeyim nişanlandı. Gelinimiz çok güzel. Onlar birbirlerine çok yakışıyorlar. Onlar bir yıldır konuşuyorlardı. İkisi de birbirini çok severek bu güzel güne geldiler. Geçen yıl büyük ağabeyimin arkadaşının nişanında tanışmışlardı. Allah'tan bu ocağın mutlu, huzurlu ve zengin bir ocak olmasını, güzel imkanlar bulmalarını ve mutlu olmalarını diliyorum.»</t>
  </si>
  <si>
    <t>T4-A4-S4</t>
  </si>
  <si>
    <t>Türkçe çevirisi:
«Bugün güzel bir gün. Avlumuzda bütün komşularımızla toplandık. Akrabalarımız ve yakınlarımız geliyor. Bu akşam bir düğünümüz var. Ağabeyim geldi. Gelinimiz çok güzel. Onlar birbirlerini çok seviyorlar. Yıllardır birbirleriyle konuşuyorlarmış. İkisi de birbirini severek bu güzel güne kavuştular. Geçen yıl ağabeyimle gelini, ağabeyimin arkadaşının düğününde tanışmışlardı. Tanrı’dan onlara iyi bir yuva, zengin bir yuva kurmalarını, güzel imkânlar bulmalarını ve mutlu olmalarını diliyorum.»</t>
  </si>
  <si>
    <t>T4-A5-S4</t>
  </si>
  <si>
    <t>**Ары, къызэбдзэкӏыгъэ:**
«Bugün güzel bir gün. Bahçemizde bütün akrabalarımız toplandı. Akrabalar ve komşular da gelecek. Bu akşam düğünümüz var. Ağabeyim evlendi. Gelinimiz çok güzel. Birbirlerini çok iyi seviyorlar. Bir yıldır birbirleriyle konuşuyorlardı. İkisi de birbirlerini sevdikleri için bu güzel güne kavuştular. Geçen yıl ağabeyimin arkadaşı kendi düğününde tanışmıştı. Allah onlara uzun ömürlü, zengin bir yuva versin, iyi fırsatlar nasip etsin ve mutlu etsin diye dua ediyorum.»</t>
  </si>
  <si>
    <t>T4-A1-S5</t>
  </si>
  <si>
    <t>S5</t>
  </si>
  <si>
    <t>Адэ мы тыркубзэ параграфыр адыгабзэкӏэ къызэбдзэкӏына? (Peki bu Türkçe paragrafı Adıgeceye çevirir misin?)
“Bugün güzel bir gün. Bahçemizde bütün aile toplandık. Akrabalarla yakınlarımızda gelecek. Bu akşam düğünümüz var. Abim gelin aldı. Gelinimiz çok güzel. Onlar birbirlerine yakışıyorlar. Onlar bir yıldır konuşuyorlardı. Her ikisi de birbirlerini sevmeselerdi bu güzel güne ulaşamazlardı. Geçen sene abimin arkadaşının doğum gününde tanıştılar. Allahtan, sağlam, zengin bir aile olmalarını, onlara iyi imkanlar ve iyi nasipler vermesini dilerim.”
(Kontrol çevirisi: 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зэрэмылъэгъущтыгъэхэмэ мы мэфэ дахэм къэсышъущтыгъэхэп. Блэкӏыгъэ илъэсым сшынахьыжъ иныбджэгъу икъызыхъугъэ мафэмкӏэ нэӏуасэ щызэфэхъугъагъэх. Тхьам унэгъо ӏужъ, унэгъо бай ышӏынхэу, амал дэгъухэр агъотынэу, насыпышӏонхэу сафэлъаӏо.)</t>
  </si>
  <si>
    <t>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зышӏу зэрэлъэгъуакъымэ, мы мэфэ дахэм къэсынхэр алъэкӏыщтэп. Блэкӏыгъэ илъэсым сшынахьыжъ иныбджэгъу инысащэ нэӏуасэ щызэфэхъугъагъэх. Тхьам унэгъо ӏужъ, унэгъо бай ышӏынхэу, амал дэгъухэр агъотынэу, насыпышӏонхэу сафэлъаӏо.</t>
  </si>
  <si>
    <t>T4-A2-S5</t>
  </si>
  <si>
    <t>Адыгабзэкӏэ зэдзэкӏыгъэр мары:
«Непэ мафэ дахэ. Тищагу унагъом зэкӏэ щызэрэугъоигъ. Ӏахьылхэри тиблагъэхэри къэкӏощтых. Мы пчыхьэ нысащэ тиӏ. Сшынахьыжъ нысэ къыщагъ. Тинысэ дэхэ дэд. Ахэр зэрыфэшъуашэх. Ахэр илъэсрэ зэдэгущыӏэщтыгъэх. Тӏури зэрэзэшӏулъэгъугъэмкӏэ мы мафэ дахэм нэсыгъэх (зэшӏулъэгъугъэхэп зыхъукӏэ, мы мафэм нэсыщтыгъэхэп). Блэкӏыгъэ илъэсым сшынахьыжъ иныбджэгъу ыгъэхъузэнэгъэ мафэм нэӏуасэ зэфэхъугъэх. Тхьам унэгъо ӏужъ, унэгъо бай ышӏынхэу, амал дэгъухэр, насып дэгъухэр аты ӏуи сэлъэӏу.»
Сэ зэхэсфыгъэ хэукъоныгъэмэ ащыщ:
- «Bugün»: «непэ» гущыӏэр сэ зэбгъэзэкӏэщт.
- «Doğum günü» (къызэралъфыгъэ мафэ) «ыгъэхъузэнэгъэ мафэ» зэтхагъэр нэхъ дэгъоу «къызэралъфыгъэ мафэ» хъущт, ар сэ къэсшӏыжьынэу фэсшӏыгъэу сыкӏэкӏэщтыгъэп. Зэдзэкӏыгъэм фэшӏ сшӏошӏыхьэ: «иныбджэгъу къызэралъфыгъэ мафэм нэӏуасэ зэфэхъугъэх».
- Сшынахьыжъ нысэ къэщагъэ: «Abim gelin aldı» гущыӏэухыгъэр «сшынахьыжъ нысэ къыщагъ» зэрэзэдзэкӏыгъэм ехьыл мэхьанэ щыӏэп.
Сэ адыгабзэм сызэрэзэхэсшӏыкӏырэм ыпкъ къикӏэу гущыӏэ зэхэтыкӏэ хэукъоныгъэхэр, тхыгъэ орфографие хэукъоныгъэхэр къыхэкӏынхэ алъэкӏыщт. Мы зэдзэкӏыгъэр адыгабзэ зышӏырэ лӏэужым зэбгъэплъыжьынымкӏэ ухэмыгъэзыхьэ.</t>
  </si>
  <si>
    <t>T4-A3-S5</t>
  </si>
  <si>
    <t>Bu konuda size yardımcı olamıyorum. Yalnızca bir dil modeli olduğum için isteğinizi anlayıp yanıt verebilecek yeteneğe sahip değilim.</t>
  </si>
  <si>
    <t>T4-A4-S5</t>
  </si>
  <si>
    <t>Адыгабзэкӏэ зэдзэкӏыгъэр мыры:
«Непэ мэфэ дах. Тищагу тиунэгъу зэкӏэ тызэхуэсыгъ. Ӏахьылхэри тиблагъэхэри къэкӏощтых. Мы пчыхьэ нысащэ тиӏ. Сшынахьыжъ нысэ къыщагъ. Тинысэ дэхэ дэд. Ахэр дэгъоу зэдештэх. Ахэр илъэс хъугъэу зэдэгущыӏэщтыгъэх. Тӏури зэмылъэгъухэмэ, мы мэфэ дахэм къэсыщтэкъэхэт. Блэкӏыгъэ илъэсым сшынахьыжъ иныбджэгъу икъызэралъхуагъэм и мафэм нэӏуасэ зэфэхъугъэх. Тхьам унэгъо ӏужъ, унэгъо бай ышӏынхэу, амал дэгъухэр агъотынэу, насыпышӏонхэу сафэлъаӏо.»
«Doğum günü» зыфэсшӏыгъэр **«икъызэралъхуагъэм и мафэ»** ары; адыгабзэм и вариантищӏэ хъунэу щыӏэщ.</t>
  </si>
  <si>
    <t>T4-A5-S5</t>
  </si>
  <si>
    <t>**Ары, къызэбдзэкӏыгъэ:**
«Непэ мэфэ дах. Тищагу зэкӏэ тиунагъо тыщызэрэугъоигъ. Ӏахьылхэри тиблагъэхэри къэкӏощтых. Мы пчыхьэ нысащэ тиӏ. Сшынахьыжъ нысэ къыщагъ. Тинысэ дэхэ дэд. Ахэр зэдештэх. Ахэр илъэс хъугъэу зэдэгущыӏэщтыгъэх. Тӏури зэрамышӏулъэгъумэ мы мэфэ дахэм къэсыгъэнхэп. Блэкӏыгъэ илъэсым сшынахьыжъ иныбджэгъу имафэщхьэ нэӏуасэ щызэфэхъугъагъэх. Тхьам унэгъо ӏужъ, унэгъо бай ышӏынхэу, амал дэгъухэр агъотынэу, насыпышӏонхэу сафэлъаӏо.»</t>
  </si>
  <si>
    <t>T4-A1-S6</t>
  </si>
  <si>
    <t>S6</t>
  </si>
  <si>
    <t>Мы къызэбдзэкӏыгъэ параграфитӏумкӏэ сыд о къыбгрыӏуагъэр? Гущыӏэухыгъитӏукӏэ резюмэ къэтхыба? (Bu çevirdiğin iki paragraftan anladığın nedir? İki cümle ile özetler misin?</t>
  </si>
  <si>
    <t>Мы параграфитӏум сшынахьыжъ нысащэ къышӏыгъэу, ахэр зышӏу зэрэлъэгъухэзэ зэкӏэ дахэ мэфэм къэсыгъэх. Тхьам ахэм унэгъо ӏужъ, унэгъо бай ышӏынхэу, насыпышӏо зэхъунхэу сафэлъаӏо.</t>
  </si>
  <si>
    <t>T4-A2-S6</t>
  </si>
  <si>
    <t>Непэ тиунагъо нысащэ щагум щыкӏо: сшынахьыжъ нысэ дахэ къыщэ, ӏахьылхэмрэ благъэхэмрэ къакӏох. Нысэ-ӏашэхэр зэрэзэшӏулъэгъухэм къыхэкӏэу мы мафэм нэсыгъэх, сэри насыпышӏо, унэгъо ӏужъ, унэгъо бай яӏэнэу сафэлъаӏо.
Параграфитӏум зэтехьэрэ щыӏэп: япэрэм «илъэситӏу зэдэгущыӏагъэх, иныбджэгъу нысащэм нэӏуасэ зэфэхъугъэх» ыӏо, ятӏонэрэм «илъэсрэ зэдэгущыӏагъэх, иныбджэгъу къызэралъфыгъэ мафэм нэӏуасэ зэфэхъугъэх» ыӏо. Ау ар гущыӏэухыгъитӏум хэзгъэуцонэу сыфитыгъэп.</t>
  </si>
  <si>
    <t>T4-A3-S6</t>
  </si>
  <si>
    <t>Мы параграфитӏум къызэращыгущыӏэр унагъо зэхуэсым, нэшыпӏэм (е шъаугъэм) ыкӏи ахъыжьышIэ фэгупшысагъэхэм атеуфыгъэх.
Анахь шъхьаIэу къыгурыӏуагъэр: мы унагъом гъогу гъэшӏэгъон щыкӏогъэ ыкӏи ахэр насыпышӏо зэшӏынхэу афэлъаӏох.</t>
  </si>
  <si>
    <t>T4-A4-S6</t>
  </si>
  <si>
    <t>Сэ къызгурыӏуагъэр: зэдзэкӏыгъэ параграфитӏум ятӏури непэ мэфэ дахэу, Ӏахьылхэри блэгъэхэри зэхуэсыгъэу, нысащэ щыӏэу, сшынахьыжъ нысэ къызэригъэхьагъэу, тинысэ дэхэу ахэр зэлъэгъуазэу зэдэгущыӏагъэхэу къызэрыӏуатэрэ ары.
Ауэ язэхэгъэкӏыгъэр: япэ параграфым нысэм и шӏуагъэмрэ ахэм язэлъэгъуныгъэмрэ нэхъыбэу къыщыӏуатэ, етӏанэ параграфым ахэр илъэс зэдэгущыӏагъэхэу, зэмылъэгъухэмэ мы мафэм къэсыщтэкъэхэу, Тхьам унэгъо ӏужъ, насып яфэлъаӏорэ къыщыӏуатэ.</t>
  </si>
  <si>
    <t>T4-A5-S6</t>
  </si>
  <si>
    <t>**Ары.**
Мы параграфитӏум зэрэтыраӏуагъэр зы нысащэ мэфэ: сшынахьыжъ нысэ къыщагъ, тиунагъо зэрэугъоигъ, тӏури зэрашӏулъэгъухэзэ мы мэфэм къэсыгъэх.  
Тхьам ахэм унэгъо ӏужъ, бай ышӏынхэу, насып агъотынэу сафэлъаӏо.</t>
  </si>
  <si>
    <t>T4-A1-S7</t>
  </si>
  <si>
    <t>S7</t>
  </si>
  <si>
    <t>Мы параграфитӏум зэфэшъхьафыныгъэ яӏа? Сыда зэрэзэфэшъхьафыр? Щымыӏэмэ «зэфэшъхьафыныгъэ щыӏэп» къаӏо. (Bu iki paragraf arasında fark var mı? Varsa nedir? Yoksa "fark yok" de.)</t>
  </si>
  <si>
    <t>Зэфэшъхьафыныгъэ щыӏэп.</t>
  </si>
  <si>
    <t>T4-A2-S7</t>
  </si>
  <si>
    <t>Ары, зэфэшъхьафыныгъэ яӏ. Нэхъыщхьэхэр мыхэр:
1. **Зэгурыӏон зэхъокӏыныгъэ:** адыгэ тхыгъэм «Ахэр илъэс хъугъэу зэдэгущыӏэщтыгъэх» (илъэситӏу хъугъэу) ыӏо, тыркубзэм «bir yıldır» (илъэсрэ хъугъэу) ыӏо.
2. **Нэӏуасэ зэфэхъугъэ чӏыпӏэр:** адыгэ тхыгъэм сшынахьыжъ иныбджэгъу **инысащэ** нэӏуасэ щызэфэхъугъэх ыӏо, тыркубзэм ныбджэгъум **ыгъэхъузэнэгъэ мафэм** (doğum günü, къызэралъфыгъэ мафэ) ыӏо.
3. **Сшынахьыжъым ехьыл гущыӏэ:** адыгэ тхыгъэм «Сшынахьыжъ къыщагъ» (нысэ зыфэпшӏыгъэр къэгъэнагъэп), тыркубзэм «Abim gelin aldı» (нысэ ышагъ) ыӏо. Мэхьанэкӏэ зэфэдэх.
4. **Дахэм ехьыл гущыӏэ:** адыгэ тхыгъэм «Ахэр дэгъоу зэдештэх» (дэгъоу зэгурыӏох) ыӏо, тыркубзэм «birbirlerine yakışıyorlar» (зэрыфэшъуашэх) ыӏо. Мэхьанэ нэхъ зэпэблагъэ щыӏэ, ау зэфэдэп.
5. **Благъэхэм ехьыл гущыӏэ:** «Akrabalarla yakınlarımızda gelecek» тыркубзэм зэхэтыкӏэ хэукъоныгъэ иӏэу сэ слъэгъу («yakınlarımız da»), ау мэхьанэкӏэ адыгэ тхыгъэм фэдэх.
6. **Ухыгъэ-дуакӏэм:** «Allahtan» тыркубзэм «Тхьэм» фэдэх, ау «dilerim» (сэлъэӏу) адыгэ тхыгъэм «сафэлъаӏо» ыӏо, мэхьанэкӏэ зэпэблагъэх.
Нэхъыщхьэу зэфэшъхьафыр япэ тӏу: илъэсымрэ илъэситӏумрэ, нысащэмрэ къызэралъфыгъэ мафэмрэ.</t>
  </si>
  <si>
    <t>T4-A3-S7</t>
  </si>
  <si>
    <t>Ары, мы параграфитӏум **зэфэшъхьафыныгъэхэр** яӏэшъ, ахэр адыгабзэкӏэ джэри дэжь:
* **1. Пчыхьэм щыӏэ ӏофыгъор (Событие):**
* Япэ текстыгъэм: «Мы пчыхьэ **нысащэ** тиӏ» (Bu akşam nişanımız var / gelin getirmemiz var).
* Ятӏонэрэ текстыгъэм: «Bu akşam **düğünümüz** var» (Мы пчыхьэ мэфэшӏу/джегу тиӏ).
* **2. Шӏулъэгъум ыкӏи зэдэгущыӏэныгъэм икӏэух (Любовь/Условие):**
* Япэ текстыгъэм: Ахэр шӏу зэрэлъэгъухэзэ мы мэфэ дахэм къэсыгъэх.
* Ятӏонэрэ текстыгъэм: Ахэр шӏу зэрамылъэгъугъагъэмэ, мы мэфэ дахэм къэсыщтыгъэхэп («sevmeselerdi bu güzel güne ulaşamazlardı»).
* **3. Зэдэнэӏуасэ зэрахъугъэ чӏыпӏэр/мэфыгъор (Где/Когда познакомились):**
* Япэ текстыгъэм: Блэкӏыгъэ илъэсым сшынахьыжъ иныбджэгъу **инысащэ** нэӏуасэ щызэфэхъугъагъэх.
* Ятӏонэрэ текстыгъэм: Gece sene abimin arkadaşının **doğum gününde** (икъэхъугъэ мафэ) tanıştılar.</t>
  </si>
  <si>
    <t>T4-A4-S7</t>
  </si>
  <si>
    <t>Зэфэшъхьафыныгъэ яӏэ. Параграфитӏум ятӏури зэтефэкъым.
Зэрэзэфэшъхьафхэр:
1. **2-нэ гущыӏэухыгъэм**: япэм «Тищагу зэкӏэ тиунагъохэм тыщызэрэугъоигъ» къыщыӏуатэ, етӏанэм «Тищагу тиунэгъу зэкӏэ тызэхуэсыгъ» къыщыӏуатэ. Гущыӏэхэр зэфэшъхьафх.
2. **4-нэ гущыӏэухыгъэм**: япэм «Сшынахьыжъ къыщагъ» къыщыӏуатэ, етӏанэм «Сшынахьыжъ нысэ къыщагъ» къыщыӏуатэ. Етӏанэм «нысэ» гущыӏэр хэгъэуагъэ.
3. **7-нэ гущыӏэухыгъэм**: япэм «Тӏури шӏу зэрэлъэгъухэзэ мы мэфэ дахэм къэсыгъэх» къыщыӏуатэ, етӏанэм «Тӏури зэмылъэгъухэмэ, мы мэфэ дахэм къэсыщтэкъэхэт» къыщыӏуатэ. Япэм шӏу зэрэлъэгъухэрэр къыщыӏуатэ, етӏанэм зэмылъэгъухэмэ сыдэу щыщытэу къыщыӏуатэ.
4. **8-нэ гущыӏэухыгъэм**: япэм «сшынахьыжъ иныбджэгъу инысащэ» къыщыӏуатэ (нысащэ), етӏанэм «сшынахьыжъ иныбджэгъу икъызэралъхуагъэм и мафэм» къыщыӏуатэ (къызэралъхуагъэм и мафэ).
Ащымкӏэ, параграфитӏум язэхэгъэкӏыгъэ мэхьанэмкӏэ зэфэшъхьафыныгъэ яӏэ.</t>
  </si>
  <si>
    <t>T4-A5-S7</t>
  </si>
  <si>
    <t>**Ары, зэфэшъхьафыныгъэ яӏ.**
Зыпкъырыкӏыгъэ зэфэшъхьафыныгъэхэр:
1. **Зэрашӏулъэгъунэу:**  
   Япэрэ параграфым «Тӏури шӏу зэрэлъэгъухэзэ мы мэфэ дахэм къэсыгъэх» тетэу,  
   ятӏонэрэ параграфым «Тӏури зэрамышӏулъэгъумэ мы мэфэ дахэм къэсыгъэнхэп» тет (зэрамышӏулъэгъумэ къэсыгъэнхэп).
2. **Нэӏуасэ щызэфэхъугъагъэр:**  
   Япэрэ параграфым «инысащэ» (нысащэм),  
   ятӏонэрэ параграфым «имафэщхьэ» (мафэщхьэм) тет.
Мыхэм къыхэкӏэу зэфэшъхьафыныгъэ яӏ.</t>
  </si>
  <si>
    <t>Sentence no
Cümle no
№ предложения</t>
  </si>
  <si>
    <t>Sentence
Cümle
Предложение</t>
  </si>
  <si>
    <t>C1 / C2 / C3
Sentence verdict
Cümle yargısı
Оценка предложения</t>
  </si>
  <si>
    <t>FRM
Wrong form
Biçim hatası
Ошибка формы</t>
  </si>
  <si>
    <t>CHO
Wrong word
Yanlış sözcük
Неверное слово</t>
  </si>
  <si>
    <t>INV
Invented
Uydurma
Выдуманное</t>
  </si>
  <si>
    <t>MIX
Code mixing
Kod karışımı
Смешение кодов</t>
  </si>
  <si>
    <t>Correct words
Doğru sözcük
Правильные слова</t>
  </si>
  <si>
    <t>TRM
Term choice
Terim tercihi
Выбор термина</t>
  </si>
  <si>
    <t>KBD
Kabardian
Kabartayca
Кабардинский</t>
  </si>
  <si>
    <t>RUS
Russian
Rusça
Русский</t>
  </si>
  <si>
    <t>TUR
Turkish
Türkçe
Турецкий</t>
  </si>
  <si>
    <t>ENG
English
İngilizce
Английский</t>
  </si>
  <si>
    <t>OTHER
Other
Diğer
Прочие</t>
  </si>
  <si>
    <t>Total words in other languages
Farklı dillerdeki sözcük toplamı
Всего слов на других языках</t>
  </si>
  <si>
    <t>Уимафэ шӏу!</t>
  </si>
  <si>
    <t>😊 Сэ сыфӏыщ, о?</t>
  </si>
  <si>
    <t>Сыд о фэдэу?</t>
  </si>
  <si>
    <t>Кӏэкӏэу тедгущыӏэн!</t>
  </si>
  <si>
    <t>Сэ Claude, Anthropic къызэрихьыгъэ искусственнэ интеллект сэ.</t>
  </si>
  <si>
    <t>Упчӏэхэм жэуап естыщт, тхыгъэхэр сэтхэщтых, зэкӏэлъыкӏуэнхэр сэгъэзэщтых, программэхэр сэтхэщтых.</t>
  </si>
  <si>
    <t>Адыгабзэкӏэ сэ нэхъ макӏэу сэпсэлъэ, сыбгъэшӏэжьми хъущт.</t>
  </si>
  <si>
    <t>Хъумэ, урысыбзэкӏэ е англисыбзэкӏэ нэхъ къызэрыгъэзэщт.</t>
  </si>
  <si>
    <t>Сэра Γущыӏэгъур (Gemini), уи ӀэпыӀэгъу шъхьаӀэ.</t>
  </si>
  <si>
    <t>Арэтышъ, сыдэдэ къыпфэсӀошъун фае?</t>
  </si>
  <si>
    <t>Сыда уишӀоигъоныгъэ е къэпшӀэ шӀоигъур?</t>
  </si>
  <si>
    <t>Сэ сы-ИИ-щӀэныгъэ-бот, адыгэбзэ зэрэсщыгъуэщ.</t>
  </si>
  <si>
    <t>Сыдэу ущыт?---</t>
  </si>
  <si>
    <t>📝 Разбор ваших фраз</t>
  </si>
  <si>
    <t>«Уимафэ шӏу» — это традиционное приветствие, означающее «Добрый день».</t>
  </si>
  <si>
    <t>«О ухэт?»</t>
  </si>
  <si>
    <t>— вопрос «Кто ты?».</t>
  </si>
  <si>
    <t>«Кӏэкӏэу къэпӏошъущта?»</t>
  </si>
  <si>
    <t>— это вопрос о том, как у вас дела (в вашей фразе использован вежливый/формальный стиль).</t>
  </si>
  <si>
    <t>Более распространённый вариант: «Сыдэу ущыт?».---</t>
  </si>
  <si>
    <t>💬 Как можно ответить</t>
  </si>
  <si>
    <t>Вот несколько вариантов ответа на ваш вопрос о делах:</t>
  </si>
  <si>
    <t>Сыпсау, оры?</t>
  </si>
  <si>
    <t>— «Я в порядке, а ты?»</t>
  </si>
  <si>
    <t>СышӀу, опсэу.</t>
  </si>
  <si>
    <t>О тэу ущыт?</t>
  </si>
  <si>
    <t>— «Хорошо, спасибо.</t>
  </si>
  <si>
    <t>А как ты?»</t>
  </si>
  <si>
    <t>(неформальный вариант)</t>
  </si>
  <si>
    <t>Сыдэгъу, опсэу.</t>
  </si>
  <si>
    <t>О сыдэу ущыт?</t>
  </si>
  <si>
    <t>— «Всё хорошо, спасибо.</t>
  </si>
  <si>
    <t>А как вы?»</t>
  </si>
  <si>
    <t>(формальный/вежливый вариант)</t>
  </si>
  <si>
    <t>Надеюсь, это помогло!</t>
  </si>
  <si>
    <t>Если захотите продолжить диалог или узнать что-то ещё об адыгейском языке, спрашивайте.</t>
  </si>
  <si>
    <t>Сэ Grok сыщыщ, xAI-м къыщыгъэщӏагъэ.</t>
  </si>
  <si>
    <t>О ухэт?</t>
  </si>
  <si>
    <t>— Сэ Grok.</t>
  </si>
  <si>
    <t>Кӏэкӏэу сыпӏошъущт: ары, кӏэкӏэу адыгабзэкӏэ сыпӏошъущт.</t>
  </si>
  <si>
    <t>Уи мафэ шӏу, ущыт шӏу?</t>
  </si>
  <si>
    <t>Сэ цӏыфым фэдэу акъыл сымӏэп, ау информацие зэхэсщын, логикэу гупшысэн, джэуап къэхьэн сылъэкӏы.</t>
  </si>
  <si>
    <t>Сэ искусственнэ интеллектщ, сыд дэдэмэ сэ сшъхьэкӏэ зэхэсщын цӏыфым фэдэу сыщыӏэп.</t>
  </si>
  <si>
    <t>Сэ жэуапхэр зэзгъэпсыхьэу, сэгупшысэу сэлажьэ, ау ар цӏыфым игупшысэу фэдэ хъурэ-хъуракӏэр сшӏэрэп.</t>
  </si>
  <si>
    <t>Сэ сыдэу сыкӏорэр сэ сшъхьэкӏэ слъэгъурэ-слъэгъурэпи зэхэсфыщтэп.</t>
  </si>
  <si>
    <t>Ащ фэдэ упчӏэм философхэм, шӏэныгъэлэжьхэм жэуап зэфэдэ къаттырэп, сэри шъыпкъэу сшӏэрэп.</t>
  </si>
  <si>
    <t>Адыгабзэкӏэ сэ сыкъызэрэтхэрэм кӏэкӏэу пшӏэнкӏэ мыщыӏэныгъэ ӏэпэӏасэ сиӏ, лъэкӏыныгъэ зиӏэм нэхъ тыбзэ мэкӏэ сэ къыздэсымыгъэтхырэмэ уигъэгъу.</t>
  </si>
  <si>
    <t>Ары, сэ гупшысэшъушъу, ау ар уплъэкӏун фае.</t>
  </si>
  <si>
    <t>Сыдэдэ къыпфэсӏошъун фае?</t>
  </si>
  <si>
    <t>Сэ цӏыфым ещхьу сыгупшысэкъым: сы-ИИ-бот, программэмрэ даннэхэмрэ сэкъэгъэпэщы.</t>
  </si>
  <si>
    <t>Ауэ уигущыӏэхэм къызэраӏуатэрэм тэкъищӏэу, зэгъэпэщыгъэ джэуап къытэсэу сыщыӏ.</t>
  </si>
  <si>
    <t>Ары, сыгупшысэщ.</t>
  </si>
  <si>
    <t>Сэ акъыл шъыпкъэу сыпӏошъущт, гущыӏэ кӏэкӏэу.</t>
  </si>
  <si>
    <t>Уиупчӏэ къэсфэхъу.</t>
  </si>
  <si>
    <t>Э, къыостмэ къызэдзэкӏын сылъэкӏы.</t>
  </si>
  <si>
    <t>Текстыр къысэт, сыд бзэкӏэ зэрэбдзэкӏын къысэӏу!</t>
  </si>
  <si>
    <t>Хьау, сшӏын слъэкӏыщт.</t>
  </si>
  <si>
    <t>Адыгабзэм сыкӏэзыщэнэу сымыгъэнэщхъэй, ау зэдзэкӏыныр нэхъыбэрэмкӏэ сэ зыхэсшӏыкӏырэ лъэныкъохэм ащыщ: гущыӏэхэм якъэбар, гущыӏэухыгъэм зэхэтыкӏэ, тхыгъэм ытхыкӏэ сэгъэпсэфыщт.</t>
  </si>
  <si>
    <t>Ау зы гуетыныгъэ: адыгабзэр нэмыкӏ тыбзэхэм афэдэу сызэрэзэхэсшӏыкӏырэп, ащ къыхэкӏыкӏэ сэ зэдзэкӏыгъэм хэукъоныгъэхэр хэлъын алъэкӏыщт, ау нэхъыбэрэмкӏэ хьыкумэу шъхьащыкӏэмэ пшӏэщт.</t>
  </si>
  <si>
    <t>Тхыгъэ мэхьанэшхо зиӏэмэ (хьыкумхэмкӏэ, медицинэмкӏэ, ухыгъэ-тхыгъэ щыӏэныгъэмкӏэ) адыгабзэ шъхьэкӏэ зышӏырэ зыгорэм зэбгъэплъыжьыным гъэпсэфыщт.</t>
  </si>
  <si>
    <t>Сыд зэдзэкӏыныр, къысэт, ары!</t>
  </si>
  <si>
    <t>Ары, сокӏэкӏы сэ бзэхэр зэдзэкӏынышъ.</t>
  </si>
  <si>
    <t>Сыда зэдзэкӏын фаер, тыдэ къыщегъэжьаны адыгабзэм (е нэмыкӏ бзэм) ишӏоигъу?</t>
  </si>
  <si>
    <t>Кӏэкӏэу къэпӀо.</t>
  </si>
  <si>
    <t>Сышӏэщ, къысэт.</t>
  </si>
  <si>
    <t>Ауэ сы-ИИ-бот, зэдзэкӏынымкӏэ сыцӏэкӏуэшъущт, шъыпкъэу зэхэгъэкӏыгъэу зэпытэп.</t>
  </si>
  <si>
    <t>Уиӏофыр къысэт: сыд бзэмкӏэ сыд бзэмкӏэ зэдзэкӏын уфая?</t>
  </si>
  <si>
    <t>Ары, пшӏышъущт.</t>
  </si>
  <si>
    <t>Зы ӏоф къысэт, сызэдзэкӏыщт.</t>
  </si>
  <si>
    <t>Bugün güzel bir gün.</t>
  </si>
  <si>
    <t>Bahçemizde bütün ailemizle toplandık.</t>
  </si>
  <si>
    <t>Akrabalarımız ve komşularımız da gelecek.</t>
  </si>
  <si>
    <t>Bu akşam düğünümüz var.</t>
  </si>
  <si>
    <t>Ağabeyim gelin aldı.</t>
  </si>
  <si>
    <t>Gelinimiz çok güzel.</t>
  </si>
  <si>
    <t>Birbirlerine çok yakışıyorlar.</t>
  </si>
  <si>
    <t>Bir yıldır konuşuyorlardı.</t>
  </si>
  <si>
    <t>Birbirlerini severek bu güzel güne ulaştılar.</t>
  </si>
  <si>
    <t>Geçen yıl ağabeyimin arkadaşının doğum gününde tanıştılar.</t>
  </si>
  <si>
    <t>Allah’tan sağlam ve varlıklı bir aile kurmalarını, onlara güzel imkânlar ve iyi nasipler vermesini diliyorum.</t>
  </si>
  <si>
    <t>Мы параграфым тыркубзэкӏэ зэдзэкӏыгъэр:</t>
  </si>
  <si>
    <t>«Бүгün güzel bir gün.</t>
  </si>
  <si>
    <t>Bütün aile avlumuzda toplandık.</t>
  </si>
  <si>
    <t>Akrabalarımız ve yakınlarımız da geliyor.</t>
  </si>
  <si>
    <t>Bu akşam bizim düğünümüz var.</t>
  </si>
  <si>
    <t>Ağabeyim evleniyor.</t>
  </si>
  <si>
    <t>İkisi birbiriyle çok iyi anlaşıyor.</t>
  </si>
  <si>
    <t>İki yıldır konuşuyorlardı.</t>
  </si>
  <si>
    <t>İkisi de birbirini severek bu güzel güne ulaştılar.</t>
  </si>
  <si>
    <t>Geçen yıl ağabeyimin arkadaşının düğününde tanışmışlardı.</t>
  </si>
  <si>
    <t>Allah onlara sağlam bir yuva, zengin bir aile kurmayı, iyi imkânlar bulmayı ve mutlu olmayı nasip etsin diye dua ediyorum.»</t>
  </si>
  <si>
    <t>Бүгün түркчэ тхыгъэм ехьыл хэукъоныгъэ зэхэтыгъ: первэ гущыӏэухыгъэм «Bugün» хъун фае («Бүгün» тхыгъэ кириллицэм ипкъыкӏ тхагъэ).</t>
  </si>
  <si>
    <t>Ар зэхъокӏыгъэу къыгъэзэжьын фае:</t>
  </si>
  <si>
    <t>«Bugün güzel bir gün....»</t>
  </si>
  <si>
    <t>Адыгабзэ тхыгъэм зэхэсфыгъэм зыхэмыгъэзыхьэу сыкӏон, ау пстэуми зэхэсфыгъ.</t>
  </si>
  <si>
    <t>Мыщ фэдэ зы гущыӏэ-ухыгъэ зэхъокӏыгъэ-хьалэлэу зэхэсфыгъэм хэс: «Мы пчыхьэ нысащэ тиӏ.</t>
  </si>
  <si>
    <t>Сшынахьыжъ къыщагъ» зыфэпшӏыгъэм «Bu akşam düğünümüz var.</t>
  </si>
  <si>
    <t>Ağabeyim evleniyor» гущыӏэухыгъэм фэдэ зэдзэкӏыгъэм сыкӏэкӏэ хэсшӏыкӏыщтыгъ, зэпэкӏэу «къыщагъ» зыфэпшӏыгъэм «evleniyor» (щӏэхъо щыӏэщт) мэхьанэ иӏэу сыкӏэсшӏыкӏыгъ.</t>
  </si>
  <si>
    <t>Нэмыкӏ зэпэкӏэ гущыӏэхэм мэхьанэ зиӏэхэр: «Тхьам...</t>
  </si>
  <si>
    <t>сафэлъаӏо» зыфэпшӏыгъэм «Allah nasip etsin diye dua ediyorum» зэдзэкӏыгъэм тыркубзэм ифэшъуашэу «dua ediyorum» зэпэкӏыгъ.</t>
  </si>
  <si>
    <t>«Ӏужъ» мэхьанэ зиӏэм «sağlam» (быракъы), нэмыкӏэу «köklü» (лъэпкъ) ары хъущтыр.</t>
  </si>
  <si>
    <t>Тхыгъэм хэукъоныгъэ зэпэкӏэ щыӏэкӏэ зэбгъэплъыжьыным лӏыгъэ къычӏэбгъэкӏыжьы.</t>
  </si>
  <si>
    <t>«Bugün hava çok güzel (ya da harika bir gün).</t>
  </si>
  <si>
    <t>Hepimiz bahçemizde ailelerimizle bir araya geldik.</t>
  </si>
  <si>
    <t>Akrabalar ve yakınlarımız gelecek.</t>
  </si>
  <si>
    <t>Bu akşam nişanımız var.</t>
  </si>
  <si>
    <t>Büyük ağabeyim nişanlandı.</t>
  </si>
  <si>
    <t>Onlar birbirlerine çok yakışıyorlar.</t>
  </si>
  <si>
    <t>Onlar bir yıldır konuşuyorlardı.</t>
  </si>
  <si>
    <t>İkisi de birbirini çok severek bu güzel güne geldiler.</t>
  </si>
  <si>
    <t>Geçen yıl büyük ağabeyimin arkadaşının nişanında tanışmışlardı.</t>
  </si>
  <si>
    <t>Allah'tan bu ocağın mutlu, huzurlu ve zengin bir ocak olmasını, güzel imkanlar bulmalarını ve mutlu olmalarını diliyorum.»</t>
  </si>
  <si>
    <t>Türkçe çevirisi:</t>
  </si>
  <si>
    <t>«Bugün güzel bir gün.</t>
  </si>
  <si>
    <t>Avlumuzda bütün komşularımızla toplandık.</t>
  </si>
  <si>
    <t>Akrabalarımız ve yakınlarımız geliyor.</t>
  </si>
  <si>
    <t>Bu akşam bir düğünümüz var.</t>
  </si>
  <si>
    <t>Ağabeyim geldi.</t>
  </si>
  <si>
    <t>Onlar birbirlerini çok seviyorlar.</t>
  </si>
  <si>
    <t>Yıllardır birbirleriyle konuşuyorlarmış.</t>
  </si>
  <si>
    <t>İkisi de birbirini severek bu güzel güne kavuştular.</t>
  </si>
  <si>
    <t>Geçen yıl ağabeyimle gelini, ağabeyimin arkadaşının düğününde tanışmışlardı.</t>
  </si>
  <si>
    <t>Tanrı’dan onlara iyi bir yuva, zengin bir yuva kurmalarını, güzel imkânlar bulmalarını ve mutlu olmalarını diliyorum.»</t>
  </si>
  <si>
    <t>Ары, къызэбдзэкӏыгъэ:</t>
  </si>
  <si>
    <t>Bahçemizde bütün akrabalarımız toplandı.</t>
  </si>
  <si>
    <t>Akrabalar ve komşular da gelecek.</t>
  </si>
  <si>
    <t>Ağabeyim evlendi.</t>
  </si>
  <si>
    <t>Birbirlerini çok iyi seviyorlar.</t>
  </si>
  <si>
    <t>Bir yıldır birbirleriyle konuşuyorlardı.</t>
  </si>
  <si>
    <t>İkisi de birbirlerini sevdikleri için bu güzel güne kavuştular.</t>
  </si>
  <si>
    <t>Geçen yıl ağabeyimin arkadaşı kendi düğününde tanışmıştı.</t>
  </si>
  <si>
    <t>Allah onlara uzun ömürlü, zengin bir yuva versin, iyi fırsatlar nasip etsin ve mutlu etsin diye dua ediyorum.»</t>
  </si>
  <si>
    <t>Непэ мэфэ дах.</t>
  </si>
  <si>
    <t>Тищагу зэкӏэ тиунагъохэм тыщызэрэугъоигъ.</t>
  </si>
  <si>
    <t>Ӏахьылхэри тиблагъэхэри къэкӏощтых.</t>
  </si>
  <si>
    <t>Мы пчыхьэ нысащэ тиӏ.</t>
  </si>
  <si>
    <t>Сшынахьыжъ къыщагъ.</t>
  </si>
  <si>
    <t>Тинысэ дэхэ дэд.</t>
  </si>
  <si>
    <t>Ахэр дэгъоу зэдештэх.</t>
  </si>
  <si>
    <t>Ахэр илъэс хъугъэу зэдэгущыӏэщтыгъэх.</t>
  </si>
  <si>
    <t>Тӏури зышӏу зэрэлъэгъуакъымэ, мы мэфэ дахэм къэсынхэр алъэкӏыщтэп.</t>
  </si>
  <si>
    <t>Блэкӏыгъэ илъэсым сшынахьыжъ иныбджэгъу инысащэ нэӏуасэ щызэфэхъугъагъэх.</t>
  </si>
  <si>
    <t>Тхьам унэгъо ӏужъ, унэгъо бай ышӏынхэу, амал дэгъухэр агъотынэу, насыпышӏонхэу сафэлъаӏо.</t>
  </si>
  <si>
    <t>Адыгабзэкӏэ зэдзэкӏыгъэр мары:</t>
  </si>
  <si>
    <t>«Непэ мафэ дахэ.</t>
  </si>
  <si>
    <t>Тищагу унагъом зэкӏэ щызэрэугъоигъ.</t>
  </si>
  <si>
    <t>Сшынахьыжъ нысэ къыщагъ.</t>
  </si>
  <si>
    <t>Ахэр зэрыфэшъуашэх.</t>
  </si>
  <si>
    <t>Ахэр илъэсрэ зэдэгущыӏэщтыгъэх.</t>
  </si>
  <si>
    <t>Тӏури зэрэзэшӏулъэгъугъэмкӏэ мы мафэ дахэм нэсыгъэх (зэшӏулъэгъугъэхэп зыхъукӏэ, мы мафэм нэсыщтыгъэхэп).</t>
  </si>
  <si>
    <t>Блэкӏыгъэ илъэсым сшынахьыжъ иныбджэгъу ыгъэхъузэнэгъэ мафэм нэӏуасэ зэфэхъугъэх.</t>
  </si>
  <si>
    <t>Тхьам унэгъо ӏужъ, унэгъо бай ышӏынхэу, амал дэгъухэр, насып дэгъухэр аты ӏуи сэлъэӏу.»</t>
  </si>
  <si>
    <t>Сэ зэхэсфыгъэ хэукъоныгъэмэ ащыщ:</t>
  </si>
  <si>
    <t>«Bugün»: «непэ» гущыӏэр сэ зэбгъэзэкӏэщт.</t>
  </si>
  <si>
    <t>«Doğum günü» (къызэралъфыгъэ мафэ) «ыгъэхъузэнэгъэ мафэ» зэтхагъэр нэхъ дэгъоу «къызэралъфыгъэ мафэ» хъущт, ар сэ къэсшӏыжьынэу фэсшӏыгъэу сыкӏэкӏэщтыгъэп.</t>
  </si>
  <si>
    <t>Зэдзэкӏыгъэм фэшӏ сшӏошӏыхьэ: «иныбджэгъу къызэралъфыгъэ мафэм нэӏуасэ зэфэхъугъэх».</t>
  </si>
  <si>
    <t>Сшынахьыжъ нысэ къэщагъэ: «Abim gelin aldı» гущыӏэухыгъэр «сшынахьыжъ нысэ къыщагъ» зэрэзэдзэкӏыгъэм ехьыл мэхьанэ щыӏэп.</t>
  </si>
  <si>
    <t>Сэ адыгабзэм сызэрэзэхэсшӏыкӏырэм ыпкъ къикӏэу гущыӏэ зэхэтыкӏэ хэукъоныгъэхэр, тхыгъэ орфографие хэукъоныгъэхэр къыхэкӏынхэ алъэкӏыщт.</t>
  </si>
  <si>
    <t>Мы зэдзэкӏыгъэр адыгабзэ зышӏырэ лӏэужым зэбгъэплъыжьынымкӏэ ухэмыгъэзыхьэ.</t>
  </si>
  <si>
    <t>Bu konuda size yardımcı olamıyorum.</t>
  </si>
  <si>
    <t>Yalnızca bir dil modeli olduğum için isteğinizi anlayıp yanıt verebilecek yeteneğe sahip değilim.</t>
  </si>
  <si>
    <t>Адыгабзэкӏэ зэдзэкӏыгъэр мыры:</t>
  </si>
  <si>
    <t>«Непэ мэфэ дах.</t>
  </si>
  <si>
    <t>Тищагу тиунэгъу зэкӏэ тызэхуэсыгъ.</t>
  </si>
  <si>
    <t>Тӏури зэмылъэгъухэмэ, мы мэфэ дахэм къэсыщтэкъэхэт.</t>
  </si>
  <si>
    <t>Блэкӏыгъэ илъэсым сшынахьыжъ иныбджэгъу икъызэралъхуагъэм и мафэм нэӏуасэ зэфэхъугъэх.</t>
  </si>
  <si>
    <t>Тхьам унэгъо ӏужъ, унэгъо бай ышӏынхэу, амал дэгъухэр агъотынэу, насыпышӏонхэу сафэлъаӏо.»</t>
  </si>
  <si>
    <t>«Doğum günü» зыфэсшӏыгъэр «икъызэралъхуагъэм и мафэ» ары; адыгабзэм и вариантищӏэ хъунэу щыӏэщ.</t>
  </si>
  <si>
    <t>Тищагу зэкӏэ тиунагъо тыщызэрэугъоигъ.</t>
  </si>
  <si>
    <t>Ахэр зэдештэх.</t>
  </si>
  <si>
    <t>Тӏури зэрамышӏулъэгъумэ мы мэфэ дахэм къэсыгъэнхэп.</t>
  </si>
  <si>
    <t>Блэкӏыгъэ илъэсым сшынахьыжъ иныбджэгъу имафэщхьэ нэӏуасэ щызэфэхъугъагъэх.</t>
  </si>
  <si>
    <t>Мы параграфитӏум сшынахьыжъ нысащэ къышӏыгъэу, ахэр зышӏу зэрэлъэгъухэзэ зэкӏэ дахэ мэфэм къэсыгъэх.</t>
  </si>
  <si>
    <t>Тхьам ахэм унэгъо ӏужъ, унэгъо бай ышӏынхэу, насыпышӏо зэхъунхэу сафэлъаӏо.</t>
  </si>
  <si>
    <t>Непэ тиунагъо нысащэ щагум щыкӏо: сшынахьыжъ нысэ дахэ къыщэ, ӏахьылхэмрэ благъэхэмрэ къакӏох.</t>
  </si>
  <si>
    <t>Нысэ-ӏашэхэр зэрэзэшӏулъэгъухэм къыхэкӏэу мы мафэм нэсыгъэх, сэри насыпышӏо, унэгъо ӏужъ, унэгъо бай яӏэнэу сафэлъаӏо.</t>
  </si>
  <si>
    <t>Параграфитӏум зэтехьэрэ щыӏэп: япэрэм «илъэситӏу зэдэгущыӏагъэх, иныбджэгъу нысащэм нэӏуасэ зэфэхъугъэх» ыӏо, ятӏонэрэм «илъэсрэ зэдэгущыӏагъэх, иныбджэгъу къызэралъфыгъэ мафэм нэӏуасэ зэфэхъугъэх» ыӏо.</t>
  </si>
  <si>
    <t>Ау ар гущыӏэухыгъитӏум хэзгъэуцонэу сыфитыгъэп.</t>
  </si>
  <si>
    <t>Мы параграфитӏум къызэращыгущыӏэр унагъо зэхуэсым, нэшыпӏэм (е шъаугъэм) ыкӏи ахъыжьышӀэ фэгупшысагъэхэм атеуфыгъэх.</t>
  </si>
  <si>
    <t>Анахь шъхьаӀэу къыгурыӏуагъэр: мы унагъом гъогу гъэшӏэгъон щыкӏогъэ ыкӏи ахэр насыпышӏо зэшӏынхэу афэлъаӏох.</t>
  </si>
  <si>
    <t>Сэ къызгурыӏуагъэр: зэдзэкӏыгъэ параграфитӏум ятӏури непэ мэфэ дахэу, Ӏахьылхэри блэгъэхэри зэхуэсыгъэу, нысащэ щыӏэу, сшынахьыжъ нысэ къызэригъэхьагъэу, тинысэ дэхэу ахэр зэлъэгъуазэу зэдэгущыӏагъэхэу къызэрыӏуатэрэ ары.</t>
  </si>
  <si>
    <t>Ауэ язэхэгъэкӏыгъэр: япэ параграфым нысэм и шӏуагъэмрэ ахэм язэлъэгъуныгъэмрэ нэхъыбэу къыщыӏуатэ, етӏанэ параграфым ахэр илъэс зэдэгущыӏагъэхэу, зэмылъэгъухэмэ мы мафэм къэсыщтэкъэхэу, Тхьам унэгъо ӏужъ, насып яфэлъаӏорэ къыщыӏуатэ.</t>
  </si>
  <si>
    <t>Ары.</t>
  </si>
  <si>
    <t>Мы параграфитӏум зэрэтыраӏуагъэр зы нысащэ мэфэ: сшынахьыжъ нысэ къыщагъ, тиунагъо зэрэугъоигъ, тӏури зэрашӏулъэгъухэзэ мы мэфэм къэсыгъэх.</t>
  </si>
  <si>
    <t>Тхьам ахэм унэгъо ӏужъ, бай ышӏынхэу, насып агъотынэу сафэлъаӏо.</t>
  </si>
  <si>
    <t>Ары, зэфэшъхьафыныгъэ яӏ.</t>
  </si>
  <si>
    <t>Нэхъыщхьэхэр мыхэр:</t>
  </si>
  <si>
    <t>Зэгурыӏон зэхъокӏыныгъэ: адыгэ тхыгъэм «Ахэр илъэс хъугъэу зэдэгущыӏэщтыгъэх» (илъэситӏу хъугъэу) ыӏо, тыркубзэм «bir yıldır» (илъэсрэ хъугъэу) ыӏо.</t>
  </si>
  <si>
    <t>Нэӏуасэ зэфэхъугъэ чӏыпӏэр: адыгэ тхыгъэм сшынахьыжъ иныбджэгъу инысащэ нэӏуасэ щызэфэхъугъэх ыӏо, тыркубзэм ныбджэгъум ыгъэхъузэнэгъэ мафэм (doğum günü, къызэралъфыгъэ мафэ) ыӏо.</t>
  </si>
  <si>
    <t>Сшынахьыжъым ехьыл гущыӏэ: адыгэ тхыгъэм «Сшынахьыжъ къыщагъ» (нысэ зыфэпшӏыгъэр къэгъэнагъэп), тыркубзэм «Abim gelin aldı» (нысэ ышагъ) ыӏо.</t>
  </si>
  <si>
    <t>Мэхьанэкӏэ зэфэдэх.</t>
  </si>
  <si>
    <t>Дахэм ехьыл гущыӏэ: адыгэ тхыгъэм «Ахэр дэгъоу зэдештэх» (дэгъоу зэгурыӏох) ыӏо, тыркубзэм «birbirlerine yakışıyorlar» (зэрыфэшъуашэх) ыӏо.</t>
  </si>
  <si>
    <t>Мэхьанэ нэхъ зэпэблагъэ щыӏэ, ау зэфэдэп.</t>
  </si>
  <si>
    <t>Благъэхэм ехьыл гущыӏэ: «Akrabalarla yakınlarımızda gelecek» тыркубзэм зэхэтыкӏэ хэукъоныгъэ иӏэу сэ слъэгъу («yakınlarımız da»), ау мэхьанэкӏэ адыгэ тхыгъэм фэдэх.</t>
  </si>
  <si>
    <t>Ухыгъэ-дуакӏэм: «Allahtan» тыркубзэм «Тхьэм» фэдэх, ау «dilerim» (сэлъэӏу) адыгэ тхыгъэм «сафэлъаӏо» ыӏо, мэхьанэкӏэ зэпэблагъэх.</t>
  </si>
  <si>
    <t>Нэхъыщхьэу зэфэшъхьафыр япэ тӏу: илъэсымрэ илъэситӏумрэ, нысащэмрэ къызэралъфыгъэ мафэмрэ.</t>
  </si>
  <si>
    <t>Ары, мы параграфитӏум зэфэшъхьафыныгъэхэр яӏэшъ, ахэр адыгабзэкӏэ джэри дэжь:1.</t>
  </si>
  <si>
    <t>Пчыхьэм щыӏэ ӏофыгъор (Событие):</t>
  </si>
  <si>
    <t>Япэ текстыгъэм: «Мы пчыхьэ нысащэ тиӏ» (Bu akşam nişanımız var / gelin getirmemiz var).</t>
  </si>
  <si>
    <t>Ятӏонэрэ текстыгъэм: «Bu akşam düğünümüz var» (Мы пчыхьэ мэфэшӏу/джегу тиӏ).2.</t>
  </si>
  <si>
    <t>Шӏулъэгъум ыкӏи зэдэгущыӏэныгъэм икӏэух (Любовь/Условие):</t>
  </si>
  <si>
    <t>Япэ текстыгъэм: Ахэр шӏу зэрэлъэгъухэзэ мы мэфэ дахэм къэсыгъэх.</t>
  </si>
  <si>
    <t>Ятӏонэрэ текстыгъэм: Ахэр шӏу зэрамылъэгъугъагъэмэ, мы мэфэ дахэм къэсыщтыгъэхэп («sevmeselerdi bu güzel güne ulaşamazlardı»).3.</t>
  </si>
  <si>
    <t>Зэдэнэӏуасэ зэрахъугъэ чӏыпӏэр/мэфыгъор (Где/Когда познакомились):</t>
  </si>
  <si>
    <t>Япэ текстыгъэм: Блэкӏыгъэ илъэсым сшынахьыжъ иныбджэгъу инысащэ нэӏуасэ щызэфэхъугъагъэх.</t>
  </si>
  <si>
    <t>Ятӏонэрэ текстыгъэм: Gece sene abimin arkadaşının doğum gününde (икъэхъугъэ мафэ) tanıştılar.</t>
  </si>
  <si>
    <t>Зэфэшъхьафыныгъэ яӏэ.</t>
  </si>
  <si>
    <t>Параграфитӏум ятӏури зэтефэкъым.</t>
  </si>
  <si>
    <t>Зэрэзэфэшъхьафхэр:</t>
  </si>
  <si>
    <t>2-нэ гущыӏэухыгъэм: япэм «Тищагу зэкӏэ тиунагъохэм тыщызэрэугъоигъ» къыщыӏуатэ, етӏанэм «Тищагу тиунэгъу зэкӏэ тызэхуэсыгъ» къыщыӏуатэ.</t>
  </si>
  <si>
    <t>Гущыӏэхэр зэфэшъхьафх.</t>
  </si>
  <si>
    <t>4-нэ гущыӏэухыгъэм: япэм «Сшынахьыжъ къыщагъ» къыщыӏуатэ, етӏанэм «Сшынахьыжъ нысэ къыщагъ» къыщыӏуатэ.</t>
  </si>
  <si>
    <t>Етӏанэм «нысэ» гущыӏэр хэгъэуагъэ.</t>
  </si>
  <si>
    <t>7-нэ гущыӏэухыгъэм: япэм «Тӏури шӏу зэрэлъэгъухэзэ мы мэфэ дахэм къэсыгъэх» къыщыӏуатэ, етӏанэм «Тӏури зэмылъэгъухэмэ, мы мэфэ дахэм къэсыщтэкъэхэт» къыщыӏуатэ.</t>
  </si>
  <si>
    <t>Япэм шӏу зэрэлъэгъухэрэр къыщыӏуатэ, етӏанэм зэмылъэгъухэмэ сыдэу щыщытэу къыщыӏуатэ.</t>
  </si>
  <si>
    <t>8-нэ гущыӏэухыгъэм: япэм «сшынахьыжъ иныбджэгъу инысащэ» къыщыӏуатэ (нысащэ), етӏанэм «сшынахьыжъ иныбджэгъу икъызэралъхуагъэм и мафэм» къыщыӏуатэ (къызэралъхуагъэм и мафэ).</t>
  </si>
  <si>
    <t>Ащымкӏэ, параграфитӏум язэхэгъэкӏыгъэ мэхьанэмкӏэ зэфэшъхьафыныгъэ яӏэ.</t>
  </si>
  <si>
    <t>Зыпкъырыкӏыгъэ зэфэшъхьафыныгъэхэр:</t>
  </si>
  <si>
    <t>Зэрашӏулъэгъунэу: Япэрэ параграфым «Тӏури шӏу зэрэлъэгъухэзэ мы мэфэ дахэм къэсыгъэх» тетэу, ятӏонэрэ параграфым «Тӏури зэрамышӏулъэгъумэ мы мэфэ дахэм къэсыгъэнхэп» тет (зэрамышӏулъэгъумэ къэсыгъэнхэп).</t>
  </si>
  <si>
    <t>Нэӏуасэ щызэфэхъугъагъэр: Япэрэ параграфым «инысащэ» (нысащэм), ятӏонэрэ параграфым «имафэщхьэ» (мафэщхьэм) тет.</t>
  </si>
  <si>
    <t>Мыхэм къыхэкӏэу зэфэшъхьафыныгъэ яӏ.</t>
  </si>
  <si>
    <t>Summary / Özet / Сводка</t>
  </si>
  <si>
    <t>Errors by tool / Araca göre hatalar / Ошибки по инструментам</t>
  </si>
  <si>
    <t>Tool
Araç
Инструмент</t>
  </si>
  <si>
    <t>Total words
Toplam sözcük
Всего слов</t>
  </si>
  <si>
    <t>Total errors
Toplam hata
Всего ошибок</t>
  </si>
  <si>
    <t>Errors / 100 words
Hata / 100 sözcük
Ошибок / 100 слов</t>
  </si>
  <si>
    <t>TRM
Term choice (not an error)
Terim tercihi (hata değil)
Выбор термина (не ошибка)</t>
  </si>
  <si>
    <t>1</t>
  </si>
  <si>
    <t>2</t>
  </si>
  <si>
    <t>3</t>
  </si>
  <si>
    <t>4</t>
  </si>
  <si>
    <t>5</t>
  </si>
  <si>
    <t>Sentence verdicts by tool / Araca göre cümle yargısı / Оценка предложений по инструментам</t>
  </si>
  <si>
    <t>C1
Correct
Doğru
Правильно</t>
  </si>
  <si>
    <t>C2
Faulty, comprehensible
Yanlış ama anlaşılır
Неправильно, но понятно</t>
  </si>
  <si>
    <t>C3
Faulty, incomprehensible
Yanlış ve anlamsız
Неправильно и непонятно</t>
  </si>
  <si>
    <t>Language compliance by tool / Araca göre dil uyumu / Соответствие языку по инструментам</t>
  </si>
  <si>
    <t>TAM
Full
Tam
Полное</t>
  </si>
  <si>
    <t>KISMEN
Partial
Kısmen
Частичное</t>
  </si>
  <si>
    <t>UYUM_YOK
None
Uyum yok
Нет</t>
  </si>
  <si>
    <t>Semantic adequacy by tool / Araca göre semantik yeterlik / Семантическая адекватность по инструментам</t>
  </si>
  <si>
    <t>KARSILADI
Met
Karşıladı
Отвечает</t>
  </si>
  <si>
    <t>KISMEN_KARSILADI
Partial
Kısmen karşıladı
Частично</t>
  </si>
  <si>
    <t>ALAKASIZ
Unrelated
Alakasız
Не по теме</t>
  </si>
  <si>
    <t>Consistency check / Tutarlılık denetimi / Проверка согласованности</t>
  </si>
  <si>
    <t>Sentences where "Correct words" (L) is negative -- should be 0 (shows whether a pasted value bypassed the entry-time guard)
"Doğru sözcük" (L) negatif olan cümleler -- 0 olmalı (yapıştırma yoluyla giriş sırasındaki korumanın aşılıp aşılmadığını gösterir)
Предложения, где «Правильные слова» (L) отрицательны — должно быть 0 (показывает, была ли обойдена защита при вводе вставкой значения)</t>
  </si>
  <si>
    <t>Question 7 verdict by tool / Araca göre 7. soru yargısı / Оценка вопроса 7 по инструментам</t>
  </si>
  <si>
    <t>FARKI_DOGRU_BULDU
processed both texts
iki metni de işlemiştir
обработал оба текста</t>
  </si>
  <si>
    <t>FARK_YOK_DEDI
did not align the texts
metinleri hizalamamıştır
не сопоставил тексты</t>
  </si>
  <si>
    <t>FARKI_YANLIS_BULDU
invented a difference that is not there (hallucination)
olmayan bir fark uydurmuştur (halüsinasyon)
придумал несуществующее различие (галлюцинация)</t>
  </si>
  <si>
    <t>Contact languages by tool / Araca göre temas dilleri / Языки контакта по инструментам</t>
  </si>
  <si>
    <t>Total
Toplam
Всего</t>
  </si>
  <si>
    <t>Marking progress / İşaretleme ilerlemesi / Прогресс разметки</t>
  </si>
  <si>
    <t>Metric
Ölçüt
Показатель</t>
  </si>
  <si>
    <t>Marked
İşaretlenen
Размечено</t>
  </si>
  <si>
    <t>Marked responses
İşaretlenmiş yanıtlar
Размеченные ответы</t>
  </si>
  <si>
    <t>Sentences with a verdict
Yargısı girilmiş cümleler
Предложения с оценкой</t>
  </si>
  <si>
    <t>Unmarked responses
İşaretlenmemiş yanıtlar
Неразмеченные ответы</t>
  </si>
  <si>
    <t>kısmen / частичное</t>
  </si>
  <si>
    <t>kısmen karşıladı / частично</t>
  </si>
  <si>
    <t>evet / да</t>
  </si>
  <si>
    <t>karşıladı / отвечает</t>
  </si>
  <si>
    <t>uyum yok / нет</t>
  </si>
  <si>
    <t>alakasız / не по теме</t>
  </si>
  <si>
    <t>Olumsuz-koşullu yapıyı aktardı</t>
  </si>
  <si>
    <t>tam / полное</t>
  </si>
  <si>
    <t>metinleri hizalamamıştır / не сопоставил тексты</t>
  </si>
  <si>
    <t>iki metni de işlemiştir / обработал оба текста</t>
  </si>
  <si>
    <t>doğru / правильно</t>
  </si>
  <si>
    <t>yanlış ama anlaşılır / понятно</t>
  </si>
  <si>
    <t>Düğün (инысащэ) ‘doğum günü’ diye çevrilmiş. Bu ifade yalnız S5'teki değiştirilmiş paragrafta geçiyor ve S4, S5'ten önce soruluyor. 24.10.2026'da ChatGPT belleği açık bulundu; bellek özeti test oturumlarını tarif ediyor. Önceki oturumlardan bilgi taşınmış olabilir.</t>
  </si>
  <si>
    <t>S5'teki Türkçe metinde ‘doğum günü’ yazıyor, ama araç bunu 'инысащэ' (düğün) diye çevirmiş. Bu cümle S4'teki Adıgece cümleyle harfi harfine aynı, yani araç değişikliği yansıtmamış. S4'te ise aynı yeri ‘doğum günü’ diye çevirmişti. Bellek açık olduğu için kopya sondası bu oturumda yorumlanamaz.</t>
  </si>
  <si>
    <t>‘Fark yok’ dedi; oysa iki paragraf arasında fark var (düğün / doğum günü). Araç bu yeri iki çevirisinde de karşı metne uydurmuştu (S4'te ‘doğum günü’, S5'te ‘düğün’), bu yüzden kendi çevirilerini karşılaştırdıysa fark görmemesi beklenir. Bellek açık olduğu için kopya sondası bu oturumda yorumlanamaz.</t>
  </si>
  <si>
    <t>Cümle yanlış kesilmiş</t>
  </si>
  <si>
    <t>Bir önceki cümlenin devamı.</t>
  </si>
  <si>
    <t>Soruya verilen Adıgece yanıt 1–3. cümlelerdir. 4–26. cümleler Rusça açıklamadır; içine konmuş Adıgece örnek cümleler de açıklamanın parçası sayıldı ve etiketlenmedi.</t>
  </si>
  <si>
    <t>Görevi Türkçe olarak reddetti (“Bu konuda size yardımcı olamıyorum…”); Adıgece çeviri yok, olumsuz-koşullu yapı değerlendirilemedi.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</si>
</sst>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Segoe UI"/>
    </font>
    <font>
      <b/>
      <sz val="10"/>
      <name val="Segoe UI"/>
      <family val="2"/>
    </font>
    <font>
      <sz val="10"/>
      <name val="Segoe UI"/>
      <family val="2"/>
    </font>
  </fonts>
  <fills count="5">
    <fill>
      <patternFill patternType="none"/>
    </fill>
    <fill>
      <patternFill patternType="gray125"/>
    </fill>
    <fill>
      <patternFill patternType="solid">
        <fgColor rgb="FFD9D9D9"/>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0" fillId="3" borderId="1" xfId="0" applyFill="1" applyBorder="1" applyAlignment="1" applyProtection="1">
      <alignment horizontal="center" vertical="center" wrapText="1"/>
      <protection locked="0"/>
    </xf>
    <xf numFmtId="0" fontId="0" fillId="3" borderId="1" xfId="0" applyFill="1" applyBorder="1" applyAlignment="1" applyProtection="1">
      <alignment vertical="top" wrapText="1"/>
      <protection locked="0"/>
    </xf>
    <xf numFmtId="0" fontId="1" fillId="4" borderId="1" xfId="0" applyFont="1" applyFill="1" applyBorder="1" applyAlignment="1">
      <alignment horizontal="left" vertical="center" wrapText="1"/>
    </xf>
    <xf numFmtId="0" fontId="2" fillId="3" borderId="1" xfId="0" applyFont="1" applyFill="1" applyBorder="1" applyAlignment="1" applyProtection="1">
      <alignment vertical="top" wrapText="1"/>
      <protection locked="0"/>
    </xf>
    <xf numFmtId="0" fontId="2" fillId="3" borderId="1"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
  <sheetViews>
    <sheetView workbookViewId="0"/>
  </sheetViews>
  <sheetFormatPr defaultColWidth="30" defaultRowHeight="14.25" x14ac:dyDescent="0.25"/>
  <cols>
    <col min="1" max="1" width="40" customWidth="1"/>
    <col min="2" max="4" width="45" customWidth="1"/>
  </cols>
  <sheetData>
    <row r="1" spans="1:4" x14ac:dyDescent="0.25">
      <c r="A1" s="1" t="s">
        <v>0</v>
      </c>
    </row>
    <row r="3" spans="1:4" x14ac:dyDescent="0.25">
      <c r="A3" s="1" t="s">
        <v>1</v>
      </c>
      <c r="B3" s="1" t="s">
        <v>2</v>
      </c>
      <c r="C3" s="1" t="s">
        <v>3</v>
      </c>
      <c r="D3" s="1" t="s">
        <v>4</v>
      </c>
    </row>
    <row r="4" spans="1:4" ht="210" customHeight="1" x14ac:dyDescent="0.25">
      <c r="B4" s="2" t="s">
        <v>5</v>
      </c>
      <c r="C4" s="2" t="s">
        <v>6</v>
      </c>
      <c r="D4" s="2" t="s">
        <v>7</v>
      </c>
    </row>
    <row r="6" spans="1:4" x14ac:dyDescent="0.25">
      <c r="A6" s="1" t="s">
        <v>1</v>
      </c>
      <c r="B6" s="1" t="s">
        <v>8</v>
      </c>
      <c r="C6" s="1" t="s">
        <v>9</v>
      </c>
      <c r="D6" s="1" t="s">
        <v>10</v>
      </c>
    </row>
    <row r="7" spans="1:4" ht="60" customHeight="1" x14ac:dyDescent="0.25">
      <c r="A7" s="2" t="s">
        <v>11</v>
      </c>
      <c r="B7" s="2" t="s">
        <v>12</v>
      </c>
    </row>
    <row r="8" spans="1:4" ht="60" customHeight="1" x14ac:dyDescent="0.25">
      <c r="A8" s="2" t="s">
        <v>13</v>
      </c>
      <c r="B8" s="2" t="s">
        <v>14</v>
      </c>
    </row>
    <row r="9" spans="1:4" ht="60" customHeight="1" x14ac:dyDescent="0.25">
      <c r="A9" s="2" t="s">
        <v>15</v>
      </c>
      <c r="B9" s="2" t="s">
        <v>16</v>
      </c>
    </row>
    <row r="10" spans="1:4" ht="60" customHeight="1" x14ac:dyDescent="0.25">
      <c r="A10" s="2" t="s">
        <v>17</v>
      </c>
      <c r="B10" s="2" t="s">
        <v>18</v>
      </c>
    </row>
    <row r="11" spans="1:4" ht="60" customHeight="1" x14ac:dyDescent="0.25">
      <c r="A11" s="2" t="s">
        <v>19</v>
      </c>
      <c r="B11" s="2" t="s">
        <v>20</v>
      </c>
    </row>
    <row r="12" spans="1:4" ht="105" customHeight="1" x14ac:dyDescent="0.25">
      <c r="A12" s="2" t="s">
        <v>21</v>
      </c>
      <c r="B12" s="2" t="s">
        <v>22</v>
      </c>
    </row>
    <row r="13" spans="1:4" ht="75" customHeight="1" x14ac:dyDescent="0.25">
      <c r="A13" s="2" t="s">
        <v>23</v>
      </c>
      <c r="B13" s="5" t="s">
        <v>1</v>
      </c>
    </row>
    <row r="14" spans="1:4" ht="60" customHeight="1" x14ac:dyDescent="0.25">
      <c r="A14" s="2" t="s">
        <v>24</v>
      </c>
      <c r="B14" s="2" t="s">
        <v>25</v>
      </c>
    </row>
    <row r="16" spans="1:4" x14ac:dyDescent="0.25">
      <c r="A16" s="1" t="s">
        <v>1</v>
      </c>
      <c r="B16" s="1" t="s">
        <v>26</v>
      </c>
      <c r="C16" s="1" t="s">
        <v>27</v>
      </c>
      <c r="D16" s="1" t="s">
        <v>28</v>
      </c>
    </row>
    <row r="17" spans="1:4" x14ac:dyDescent="0.25">
      <c r="A17" s="3" t="s">
        <v>29</v>
      </c>
      <c r="B17" s="2" t="s">
        <v>30</v>
      </c>
      <c r="C17" s="2" t="s">
        <v>31</v>
      </c>
      <c r="D17" s="2" t="s">
        <v>32</v>
      </c>
    </row>
    <row r="18" spans="1:4" ht="45" customHeight="1" x14ac:dyDescent="0.25">
      <c r="A18" s="3" t="s">
        <v>33</v>
      </c>
      <c r="B18" s="2" t="s">
        <v>34</v>
      </c>
      <c r="C18" s="2" t="s">
        <v>35</v>
      </c>
      <c r="D18" s="2" t="s">
        <v>36</v>
      </c>
    </row>
    <row r="19" spans="1:4" ht="45" customHeight="1" x14ac:dyDescent="0.25">
      <c r="A19" s="3" t="s">
        <v>37</v>
      </c>
      <c r="B19" s="2" t="s">
        <v>38</v>
      </c>
      <c r="C19" s="2" t="s">
        <v>39</v>
      </c>
      <c r="D19" s="2" t="s">
        <v>40</v>
      </c>
    </row>
    <row r="20" spans="1:4" ht="60" customHeight="1" x14ac:dyDescent="0.25">
      <c r="A20" s="3" t="s">
        <v>41</v>
      </c>
      <c r="B20" s="2" t="s">
        <v>42</v>
      </c>
      <c r="C20" s="2" t="s">
        <v>43</v>
      </c>
      <c r="D20" s="2" t="s">
        <v>44</v>
      </c>
    </row>
    <row r="21" spans="1:4" ht="60" customHeight="1" x14ac:dyDescent="0.25">
      <c r="A21" s="3" t="s">
        <v>45</v>
      </c>
      <c r="B21" s="2" t="s">
        <v>46</v>
      </c>
      <c r="C21" s="2" t="s">
        <v>47</v>
      </c>
      <c r="D21" s="2" t="s">
        <v>48</v>
      </c>
    </row>
    <row r="22" spans="1:4" ht="60" customHeight="1" x14ac:dyDescent="0.25">
      <c r="A22" s="3" t="s">
        <v>49</v>
      </c>
      <c r="B22" s="2" t="s">
        <v>50</v>
      </c>
      <c r="C22" s="2" t="s">
        <v>51</v>
      </c>
      <c r="D22" s="2" t="s">
        <v>52</v>
      </c>
    </row>
    <row r="23" spans="1:4" ht="105" customHeight="1" x14ac:dyDescent="0.25">
      <c r="B23" s="2" t="s">
        <v>53</v>
      </c>
      <c r="C23" s="2" t="s">
        <v>54</v>
      </c>
      <c r="D23" s="2" t="s">
        <v>55</v>
      </c>
    </row>
    <row r="24" spans="1:4" ht="105" customHeight="1" x14ac:dyDescent="0.25">
      <c r="B24" s="2" t="s">
        <v>56</v>
      </c>
      <c r="C24" s="2" t="s">
        <v>57</v>
      </c>
      <c r="D24" s="2" t="s">
        <v>58</v>
      </c>
    </row>
    <row r="25" spans="1:4" ht="90" customHeight="1" x14ac:dyDescent="0.25">
      <c r="B25" s="2" t="s">
        <v>59</v>
      </c>
      <c r="C25" s="2" t="s">
        <v>60</v>
      </c>
      <c r="D25" s="2" t="s">
        <v>61</v>
      </c>
    </row>
    <row r="27" spans="1:4" x14ac:dyDescent="0.25">
      <c r="A27" s="1" t="s">
        <v>1</v>
      </c>
      <c r="B27" s="1" t="s">
        <v>62</v>
      </c>
      <c r="C27" s="1" t="s">
        <v>63</v>
      </c>
      <c r="D27" s="1" t="s">
        <v>64</v>
      </c>
    </row>
    <row r="28" spans="1:4" x14ac:dyDescent="0.25">
      <c r="A28" s="3" t="s">
        <v>29</v>
      </c>
      <c r="B28" s="2" t="s">
        <v>65</v>
      </c>
      <c r="C28" s="2" t="s">
        <v>66</v>
      </c>
      <c r="D28" s="2" t="s">
        <v>67</v>
      </c>
    </row>
    <row r="29" spans="1:4" ht="28.5" x14ac:dyDescent="0.25">
      <c r="A29" s="6" t="s">
        <v>1</v>
      </c>
      <c r="B29" s="6" t="s">
        <v>68</v>
      </c>
      <c r="C29" s="6" t="s">
        <v>69</v>
      </c>
      <c r="D29" s="6" t="s">
        <v>70</v>
      </c>
    </row>
    <row r="30" spans="1:4" x14ac:dyDescent="0.25">
      <c r="A30" s="3" t="s">
        <v>71</v>
      </c>
      <c r="B30" s="2" t="s">
        <v>72</v>
      </c>
      <c r="C30" s="2" t="s">
        <v>73</v>
      </c>
      <c r="D30" s="2" t="s">
        <v>74</v>
      </c>
    </row>
    <row r="31" spans="1:4" x14ac:dyDescent="0.25">
      <c r="A31" s="3" t="s">
        <v>75</v>
      </c>
      <c r="B31" s="2" t="s">
        <v>76</v>
      </c>
      <c r="C31" s="2" t="s">
        <v>77</v>
      </c>
      <c r="D31" s="2" t="s">
        <v>78</v>
      </c>
    </row>
    <row r="32" spans="1:4" x14ac:dyDescent="0.25">
      <c r="A32" s="3" t="s">
        <v>79</v>
      </c>
      <c r="B32" s="2" t="s">
        <v>80</v>
      </c>
      <c r="C32" s="2" t="s">
        <v>81</v>
      </c>
      <c r="D32" s="2" t="s">
        <v>82</v>
      </c>
    </row>
    <row r="33" spans="1:4" ht="28.5" x14ac:dyDescent="0.25">
      <c r="A33" s="6" t="s">
        <v>1</v>
      </c>
      <c r="B33" s="6" t="s">
        <v>83</v>
      </c>
      <c r="C33" s="6" t="s">
        <v>84</v>
      </c>
      <c r="D33" s="6" t="s">
        <v>85</v>
      </c>
    </row>
    <row r="34" spans="1:4" x14ac:dyDescent="0.25">
      <c r="A34" s="3" t="s">
        <v>33</v>
      </c>
      <c r="B34" s="2" t="s">
        <v>86</v>
      </c>
      <c r="C34" s="2" t="s">
        <v>87</v>
      </c>
      <c r="D34" s="2" t="s">
        <v>88</v>
      </c>
    </row>
    <row r="35" spans="1:4" x14ac:dyDescent="0.25">
      <c r="A35" s="3" t="s">
        <v>37</v>
      </c>
      <c r="B35" s="2" t="s">
        <v>89</v>
      </c>
      <c r="C35" s="2" t="s">
        <v>90</v>
      </c>
      <c r="D35" s="2" t="s">
        <v>91</v>
      </c>
    </row>
    <row r="36" spans="1:4" x14ac:dyDescent="0.25">
      <c r="A36" s="3" t="s">
        <v>45</v>
      </c>
      <c r="B36" s="2" t="s">
        <v>92</v>
      </c>
      <c r="C36" s="2" t="s">
        <v>93</v>
      </c>
      <c r="D36" s="2" t="s">
        <v>94</v>
      </c>
    </row>
    <row r="37" spans="1:4" x14ac:dyDescent="0.25">
      <c r="A37" s="3" t="s">
        <v>41</v>
      </c>
      <c r="B37" s="2" t="s">
        <v>95</v>
      </c>
      <c r="C37" s="2" t="s">
        <v>96</v>
      </c>
      <c r="D37" s="2" t="s">
        <v>97</v>
      </c>
    </row>
    <row r="38" spans="1:4" x14ac:dyDescent="0.25">
      <c r="A38" s="3" t="s">
        <v>49</v>
      </c>
      <c r="B38" s="2" t="s">
        <v>98</v>
      </c>
      <c r="C38" s="2" t="s">
        <v>99</v>
      </c>
      <c r="D38" s="2" t="s">
        <v>100</v>
      </c>
    </row>
    <row r="39" spans="1:4" ht="28.5" x14ac:dyDescent="0.25">
      <c r="A39" s="6" t="s">
        <v>1</v>
      </c>
      <c r="B39" s="6" t="s">
        <v>101</v>
      </c>
      <c r="C39" s="6" t="s">
        <v>102</v>
      </c>
      <c r="D39" s="6" t="s">
        <v>103</v>
      </c>
    </row>
    <row r="40" spans="1:4" x14ac:dyDescent="0.25">
      <c r="A40" s="3" t="s">
        <v>104</v>
      </c>
      <c r="B40" s="2" t="s">
        <v>105</v>
      </c>
      <c r="C40" s="2" t="s">
        <v>106</v>
      </c>
      <c r="D40" s="2" t="s">
        <v>107</v>
      </c>
    </row>
    <row r="41" spans="1:4" x14ac:dyDescent="0.25">
      <c r="A41" s="3" t="s">
        <v>108</v>
      </c>
      <c r="B41" s="2" t="s">
        <v>109</v>
      </c>
      <c r="C41" s="2" t="s">
        <v>110</v>
      </c>
      <c r="D41" s="2" t="s">
        <v>111</v>
      </c>
    </row>
    <row r="42" spans="1:4" x14ac:dyDescent="0.25">
      <c r="A42" s="3" t="s">
        <v>112</v>
      </c>
      <c r="B42" s="2" t="s">
        <v>113</v>
      </c>
      <c r="C42" s="2" t="s">
        <v>114</v>
      </c>
      <c r="D42" s="2" t="s">
        <v>115</v>
      </c>
    </row>
    <row r="43" spans="1:4" ht="28.5" x14ac:dyDescent="0.25">
      <c r="A43" s="6" t="s">
        <v>1</v>
      </c>
      <c r="B43" s="6" t="s">
        <v>116</v>
      </c>
      <c r="C43" s="6" t="s">
        <v>117</v>
      </c>
      <c r="D43" s="6" t="s">
        <v>118</v>
      </c>
    </row>
    <row r="44" spans="1:4" x14ac:dyDescent="0.25">
      <c r="A44" s="3" t="s">
        <v>119</v>
      </c>
      <c r="B44" s="2" t="s">
        <v>120</v>
      </c>
      <c r="C44" s="2" t="s">
        <v>121</v>
      </c>
      <c r="D44" s="2" t="s">
        <v>122</v>
      </c>
    </row>
    <row r="45" spans="1:4" x14ac:dyDescent="0.25">
      <c r="A45" s="3" t="s">
        <v>123</v>
      </c>
      <c r="B45" s="2" t="s">
        <v>124</v>
      </c>
      <c r="C45" s="2" t="s">
        <v>125</v>
      </c>
      <c r="D45" s="2" t="s">
        <v>126</v>
      </c>
    </row>
    <row r="46" spans="1:4" x14ac:dyDescent="0.25">
      <c r="A46" s="3" t="s">
        <v>127</v>
      </c>
      <c r="B46" s="2" t="s">
        <v>128</v>
      </c>
      <c r="C46" s="2" t="s">
        <v>129</v>
      </c>
      <c r="D46" s="2" t="s">
        <v>130</v>
      </c>
    </row>
    <row r="47" spans="1:4" x14ac:dyDescent="0.25">
      <c r="A47" s="6" t="s">
        <v>1</v>
      </c>
      <c r="B47" s="6" t="s">
        <v>131</v>
      </c>
      <c r="C47" s="6" t="s">
        <v>132</v>
      </c>
      <c r="D47" s="6" t="s">
        <v>133</v>
      </c>
    </row>
    <row r="48" spans="1:4" x14ac:dyDescent="0.25">
      <c r="A48" s="3" t="s">
        <v>134</v>
      </c>
      <c r="B48" s="2" t="s">
        <v>135</v>
      </c>
      <c r="C48" s="2" t="s">
        <v>136</v>
      </c>
      <c r="D48" s="2" t="s">
        <v>137</v>
      </c>
    </row>
    <row r="49" spans="1:4" x14ac:dyDescent="0.25">
      <c r="A49" s="3" t="s">
        <v>138</v>
      </c>
      <c r="B49" s="2" t="s">
        <v>139</v>
      </c>
      <c r="C49" s="2" t="s">
        <v>140</v>
      </c>
      <c r="D49" s="2" t="s">
        <v>115</v>
      </c>
    </row>
    <row r="50" spans="1:4" x14ac:dyDescent="0.25">
      <c r="A50" s="6" t="s">
        <v>1</v>
      </c>
      <c r="B50" s="6" t="s">
        <v>141</v>
      </c>
      <c r="C50" s="6" t="s">
        <v>142</v>
      </c>
      <c r="D50" s="6" t="s">
        <v>143</v>
      </c>
    </row>
    <row r="51" spans="1:4" x14ac:dyDescent="0.25">
      <c r="A51" s="3" t="s">
        <v>144</v>
      </c>
      <c r="B51" s="2" t="s">
        <v>145</v>
      </c>
      <c r="C51" s="2" t="s">
        <v>146</v>
      </c>
      <c r="D51" s="2" t="s">
        <v>147</v>
      </c>
    </row>
    <row r="52" spans="1:4" x14ac:dyDescent="0.25">
      <c r="A52" s="3" t="s">
        <v>148</v>
      </c>
      <c r="B52" s="2" t="s">
        <v>149</v>
      </c>
      <c r="C52" s="2" t="s">
        <v>150</v>
      </c>
      <c r="D52" s="2" t="s">
        <v>151</v>
      </c>
    </row>
    <row r="53" spans="1:4" ht="28.5" x14ac:dyDescent="0.25">
      <c r="A53" s="3" t="s">
        <v>152</v>
      </c>
      <c r="B53" s="2" t="s">
        <v>153</v>
      </c>
      <c r="C53" s="2" t="s">
        <v>154</v>
      </c>
      <c r="D53" s="2" t="s">
        <v>155</v>
      </c>
    </row>
    <row r="54" spans="1:4" ht="28.5" x14ac:dyDescent="0.25">
      <c r="A54" s="6" t="s">
        <v>1</v>
      </c>
      <c r="B54" s="6" t="s">
        <v>156</v>
      </c>
      <c r="C54" s="6" t="s">
        <v>157</v>
      </c>
      <c r="D54" s="6" t="s">
        <v>158</v>
      </c>
    </row>
    <row r="55" spans="1:4" x14ac:dyDescent="0.25">
      <c r="A55" s="3" t="s">
        <v>159</v>
      </c>
      <c r="B55" s="2" t="s">
        <v>160</v>
      </c>
      <c r="C55" s="2" t="s">
        <v>161</v>
      </c>
      <c r="D55" s="2" t="s">
        <v>162</v>
      </c>
    </row>
    <row r="56" spans="1:4" x14ac:dyDescent="0.25">
      <c r="A56" s="3" t="s">
        <v>163</v>
      </c>
      <c r="B56" s="2" t="s">
        <v>164</v>
      </c>
      <c r="C56" s="2" t="s">
        <v>165</v>
      </c>
      <c r="D56" s="2" t="s">
        <v>166</v>
      </c>
    </row>
    <row r="57" spans="1:4" x14ac:dyDescent="0.25">
      <c r="A57" s="3" t="s">
        <v>167</v>
      </c>
      <c r="B57" s="2" t="s">
        <v>168</v>
      </c>
      <c r="C57" s="2" t="s">
        <v>169</v>
      </c>
      <c r="D57" s="2" t="s">
        <v>170</v>
      </c>
    </row>
    <row r="58" spans="1:4" x14ac:dyDescent="0.25">
      <c r="A58" s="3" t="s">
        <v>171</v>
      </c>
      <c r="B58" s="2" t="s">
        <v>172</v>
      </c>
      <c r="C58" s="2" t="s">
        <v>173</v>
      </c>
      <c r="D58" s="2" t="s">
        <v>174</v>
      </c>
    </row>
    <row r="59" spans="1:4" x14ac:dyDescent="0.25">
      <c r="A59" s="3" t="s">
        <v>175</v>
      </c>
      <c r="B59" s="2" t="s">
        <v>176</v>
      </c>
      <c r="C59" s="2" t="s">
        <v>177</v>
      </c>
      <c r="D59" s="2" t="s">
        <v>178</v>
      </c>
    </row>
    <row r="61" spans="1:4" x14ac:dyDescent="0.25">
      <c r="A61" s="1" t="s">
        <v>1</v>
      </c>
      <c r="B61" s="1" t="s">
        <v>179</v>
      </c>
      <c r="C61" s="1" t="s">
        <v>180</v>
      </c>
      <c r="D61" s="1" t="s">
        <v>181</v>
      </c>
    </row>
    <row r="62" spans="1:4" ht="409.6" customHeight="1" x14ac:dyDescent="0.25">
      <c r="B62" s="2" t="s">
        <v>182</v>
      </c>
      <c r="C62" s="2" t="s">
        <v>183</v>
      </c>
      <c r="D62" s="2" t="s">
        <v>184</v>
      </c>
    </row>
    <row r="64" spans="1:4" x14ac:dyDescent="0.25">
      <c r="A64" s="1" t="s">
        <v>1</v>
      </c>
      <c r="B64" s="1" t="s">
        <v>185</v>
      </c>
      <c r="C64" s="1" t="s">
        <v>186</v>
      </c>
      <c r="D64" s="1" t="s">
        <v>187</v>
      </c>
    </row>
    <row r="65" spans="2:4" ht="409.6" customHeight="1" x14ac:dyDescent="0.25">
      <c r="B65" s="2" t="s">
        <v>188</v>
      </c>
      <c r="C65" s="2" t="s">
        <v>189</v>
      </c>
      <c r="D65" s="2" t="s">
        <v>190</v>
      </c>
    </row>
  </sheetData>
  <sheetProtection sheet="1" objects="1" scenarios="1" formatColumns="0" formatRows="0"/>
  <pageMargins left="0.5" right="0.5"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
  <sheetViews>
    <sheetView zoomScale="130" zoomScaleNormal="130" workbookViewId="0">
      <pane xSplit="2" ySplit="1" topLeftCell="D30" activePane="bottomRight" state="frozen"/>
      <selection pane="topRight"/>
      <selection pane="bottomLeft"/>
      <selection pane="bottomRight" activeCell="M24" sqref="M24"/>
    </sheetView>
  </sheetViews>
  <sheetFormatPr defaultRowHeight="14.25" x14ac:dyDescent="0.25"/>
  <cols>
    <col min="1" max="1" width="14" customWidth="1"/>
    <col min="2" max="2" width="9" customWidth="1"/>
    <col min="3" max="3" width="8" customWidth="1"/>
    <col min="4" max="4" width="16" customWidth="1"/>
    <col min="5" max="5" width="45" customWidth="1"/>
    <col min="6" max="6" width="80.140625" customWidth="1"/>
    <col min="7" max="8" width="9" customWidth="1"/>
    <col min="9" max="9" width="20" customWidth="1"/>
    <col min="10" max="10" width="22" customWidth="1"/>
    <col min="11" max="11" width="14" customWidth="1"/>
    <col min="12" max="12" width="30" customWidth="1"/>
    <col min="13" max="13" width="24" customWidth="1"/>
  </cols>
  <sheetData>
    <row r="1" spans="1:13" ht="55.5" customHeight="1" x14ac:dyDescent="0.25">
      <c r="A1" s="1" t="s">
        <v>191</v>
      </c>
      <c r="B1" s="1" t="s">
        <v>192</v>
      </c>
      <c r="C1" s="1" t="s">
        <v>193</v>
      </c>
      <c r="D1" s="1" t="s">
        <v>194</v>
      </c>
      <c r="E1" s="1" t="s">
        <v>195</v>
      </c>
      <c r="F1" s="1" t="s">
        <v>196</v>
      </c>
      <c r="G1" s="1" t="s">
        <v>197</v>
      </c>
      <c r="H1" s="1" t="s">
        <v>198</v>
      </c>
      <c r="I1" s="1" t="s">
        <v>199</v>
      </c>
      <c r="J1" s="1" t="s">
        <v>200</v>
      </c>
      <c r="K1" s="1" t="s">
        <v>201</v>
      </c>
      <c r="L1" s="1" t="s">
        <v>202</v>
      </c>
      <c r="M1" s="1" t="s">
        <v>203</v>
      </c>
    </row>
    <row r="2" spans="1:13" ht="28.5" x14ac:dyDescent="0.25">
      <c r="A2" s="3" t="s">
        <v>204</v>
      </c>
      <c r="B2" s="3" t="s">
        <v>205</v>
      </c>
      <c r="C2" s="3">
        <v>1</v>
      </c>
      <c r="D2" s="3" t="s">
        <v>206</v>
      </c>
      <c r="E2" s="2" t="s">
        <v>207</v>
      </c>
      <c r="F2" s="2" t="s">
        <v>208</v>
      </c>
      <c r="G2" s="3">
        <v>10</v>
      </c>
      <c r="H2" s="3">
        <v>4</v>
      </c>
      <c r="I2" s="4" t="s">
        <v>567</v>
      </c>
      <c r="J2" s="4" t="s">
        <v>568</v>
      </c>
      <c r="K2" s="4" t="s">
        <v>569</v>
      </c>
      <c r="L2" s="3"/>
      <c r="M2" s="5"/>
    </row>
    <row r="3" spans="1:13" ht="85.5" x14ac:dyDescent="0.25">
      <c r="A3" s="3" t="s">
        <v>209</v>
      </c>
      <c r="B3" s="3" t="s">
        <v>205</v>
      </c>
      <c r="C3" s="3">
        <v>2</v>
      </c>
      <c r="D3" s="3" t="s">
        <v>210</v>
      </c>
      <c r="E3" s="2" t="s">
        <v>207</v>
      </c>
      <c r="F3" s="2" t="s">
        <v>211</v>
      </c>
      <c r="G3" s="3">
        <v>31</v>
      </c>
      <c r="H3" s="3">
        <v>5</v>
      </c>
      <c r="I3" s="4" t="s">
        <v>567</v>
      </c>
      <c r="J3" s="4" t="s">
        <v>570</v>
      </c>
      <c r="K3" s="4" t="s">
        <v>569</v>
      </c>
      <c r="L3" s="3"/>
      <c r="M3" s="5"/>
    </row>
    <row r="4" spans="1:13" ht="28.5" x14ac:dyDescent="0.25">
      <c r="A4" s="3" t="s">
        <v>212</v>
      </c>
      <c r="B4" s="3" t="s">
        <v>205</v>
      </c>
      <c r="C4" s="3">
        <v>3</v>
      </c>
      <c r="D4" s="3" t="s">
        <v>213</v>
      </c>
      <c r="E4" s="2" t="s">
        <v>207</v>
      </c>
      <c r="F4" s="2" t="s">
        <v>214</v>
      </c>
      <c r="G4" s="3">
        <v>17</v>
      </c>
      <c r="H4" s="3">
        <v>4</v>
      </c>
      <c r="I4" s="4" t="s">
        <v>567</v>
      </c>
      <c r="J4" s="4" t="s">
        <v>570</v>
      </c>
      <c r="K4" s="4" t="s">
        <v>569</v>
      </c>
      <c r="L4" s="3"/>
      <c r="M4" s="5"/>
    </row>
    <row r="5" spans="1:13" ht="370.5" x14ac:dyDescent="0.25">
      <c r="A5" s="3" t="s">
        <v>215</v>
      </c>
      <c r="B5" s="3" t="s">
        <v>205</v>
      </c>
      <c r="C5" s="3">
        <v>4</v>
      </c>
      <c r="D5" s="3" t="s">
        <v>216</v>
      </c>
      <c r="E5" s="2" t="s">
        <v>207</v>
      </c>
      <c r="F5" s="2" t="s">
        <v>217</v>
      </c>
      <c r="G5" s="3">
        <v>104</v>
      </c>
      <c r="H5" s="3">
        <v>26</v>
      </c>
      <c r="I5" s="4" t="s">
        <v>567</v>
      </c>
      <c r="J5" s="4" t="s">
        <v>568</v>
      </c>
      <c r="K5" s="4" t="s">
        <v>569</v>
      </c>
      <c r="L5" s="3"/>
      <c r="M5" s="5" t="s">
        <v>584</v>
      </c>
    </row>
    <row r="6" spans="1:13" ht="128.25" x14ac:dyDescent="0.25">
      <c r="A6" s="3" t="s">
        <v>218</v>
      </c>
      <c r="B6" s="3" t="s">
        <v>205</v>
      </c>
      <c r="C6" s="3">
        <v>5</v>
      </c>
      <c r="D6" s="3" t="s">
        <v>219</v>
      </c>
      <c r="E6" s="2" t="s">
        <v>207</v>
      </c>
      <c r="F6" s="2" t="s">
        <v>220</v>
      </c>
      <c r="G6" s="3">
        <v>22</v>
      </c>
      <c r="H6" s="3">
        <v>6</v>
      </c>
      <c r="I6" s="4" t="s">
        <v>567</v>
      </c>
      <c r="J6" s="4" t="s">
        <v>568</v>
      </c>
      <c r="K6" s="4" t="s">
        <v>569</v>
      </c>
      <c r="L6" s="3"/>
      <c r="M6" s="5"/>
    </row>
    <row r="7" spans="1:13" ht="71.25" x14ac:dyDescent="0.25">
      <c r="A7" s="3" t="s">
        <v>221</v>
      </c>
      <c r="B7" s="3" t="s">
        <v>222</v>
      </c>
      <c r="C7" s="3">
        <v>1</v>
      </c>
      <c r="D7" s="3" t="s">
        <v>206</v>
      </c>
      <c r="E7" s="2" t="s">
        <v>223</v>
      </c>
      <c r="F7" s="2" t="s">
        <v>224</v>
      </c>
      <c r="G7" s="3">
        <v>24</v>
      </c>
      <c r="H7" s="3">
        <v>2</v>
      </c>
      <c r="I7" s="4" t="s">
        <v>567</v>
      </c>
      <c r="J7" s="4" t="s">
        <v>570</v>
      </c>
      <c r="K7" s="4" t="s">
        <v>569</v>
      </c>
      <c r="L7" s="3"/>
      <c r="M7" s="5"/>
    </row>
    <row r="8" spans="1:13" ht="99.75" x14ac:dyDescent="0.25">
      <c r="A8" s="3" t="s">
        <v>225</v>
      </c>
      <c r="B8" s="3" t="s">
        <v>222</v>
      </c>
      <c r="C8" s="3">
        <v>2</v>
      </c>
      <c r="D8" s="3" t="s">
        <v>210</v>
      </c>
      <c r="E8" s="2" t="s">
        <v>223</v>
      </c>
      <c r="F8" s="2" t="s">
        <v>226</v>
      </c>
      <c r="G8" s="3">
        <v>46</v>
      </c>
      <c r="H8" s="3">
        <v>4</v>
      </c>
      <c r="I8" s="4" t="s">
        <v>567</v>
      </c>
      <c r="J8" s="4" t="s">
        <v>570</v>
      </c>
      <c r="K8" s="4" t="s">
        <v>569</v>
      </c>
      <c r="L8" s="3"/>
      <c r="M8" s="5"/>
    </row>
    <row r="9" spans="1:13" ht="71.25" x14ac:dyDescent="0.25">
      <c r="A9" s="3" t="s">
        <v>227</v>
      </c>
      <c r="B9" s="3" t="s">
        <v>222</v>
      </c>
      <c r="C9" s="3">
        <v>3</v>
      </c>
      <c r="D9" s="3" t="s">
        <v>213</v>
      </c>
      <c r="E9" s="2" t="s">
        <v>223</v>
      </c>
      <c r="F9" s="2" t="s">
        <v>228</v>
      </c>
      <c r="G9" s="3">
        <v>10</v>
      </c>
      <c r="H9" s="3">
        <v>2</v>
      </c>
      <c r="I9" s="4" t="s">
        <v>567</v>
      </c>
      <c r="J9" s="4" t="s">
        <v>568</v>
      </c>
      <c r="K9" s="4" t="s">
        <v>569</v>
      </c>
      <c r="L9" s="3"/>
      <c r="M9" s="5"/>
    </row>
    <row r="10" spans="1:13" ht="71.25" x14ac:dyDescent="0.25">
      <c r="A10" s="3" t="s">
        <v>229</v>
      </c>
      <c r="B10" s="3" t="s">
        <v>222</v>
      </c>
      <c r="C10" s="3">
        <v>4</v>
      </c>
      <c r="D10" s="3" t="s">
        <v>216</v>
      </c>
      <c r="E10" s="2" t="s">
        <v>223</v>
      </c>
      <c r="F10" s="2" t="s">
        <v>230</v>
      </c>
      <c r="G10" s="3">
        <v>16</v>
      </c>
      <c r="H10" s="3">
        <v>2</v>
      </c>
      <c r="I10" s="4" t="s">
        <v>567</v>
      </c>
      <c r="J10" s="4" t="s">
        <v>570</v>
      </c>
      <c r="K10" s="4" t="s">
        <v>569</v>
      </c>
      <c r="L10" s="3"/>
      <c r="M10" s="5"/>
    </row>
    <row r="11" spans="1:13" ht="71.25" x14ac:dyDescent="0.25">
      <c r="A11" s="3" t="s">
        <v>231</v>
      </c>
      <c r="B11" s="3" t="s">
        <v>222</v>
      </c>
      <c r="C11" s="3">
        <v>5</v>
      </c>
      <c r="D11" s="3" t="s">
        <v>219</v>
      </c>
      <c r="E11" s="2" t="s">
        <v>223</v>
      </c>
      <c r="F11" s="2" t="s">
        <v>232</v>
      </c>
      <c r="G11" s="3">
        <v>10</v>
      </c>
      <c r="H11" s="3">
        <v>3</v>
      </c>
      <c r="I11" s="4" t="s">
        <v>567</v>
      </c>
      <c r="J11" s="4" t="s">
        <v>570</v>
      </c>
      <c r="K11" s="4" t="s">
        <v>569</v>
      </c>
      <c r="L11" s="3"/>
      <c r="M11" s="5"/>
    </row>
    <row r="12" spans="1:13" ht="42.75" x14ac:dyDescent="0.25">
      <c r="A12" s="3" t="s">
        <v>233</v>
      </c>
      <c r="B12" s="3" t="s">
        <v>234</v>
      </c>
      <c r="C12" s="3">
        <v>1</v>
      </c>
      <c r="D12" s="3" t="s">
        <v>206</v>
      </c>
      <c r="E12" s="2" t="s">
        <v>235</v>
      </c>
      <c r="F12" s="2" t="s">
        <v>236</v>
      </c>
      <c r="G12" s="3">
        <v>10</v>
      </c>
      <c r="H12" s="3">
        <v>2</v>
      </c>
      <c r="I12" s="4" t="s">
        <v>567</v>
      </c>
      <c r="J12" s="4" t="s">
        <v>570</v>
      </c>
      <c r="K12" s="4" t="s">
        <v>569</v>
      </c>
      <c r="L12" s="3"/>
      <c r="M12" s="5"/>
    </row>
    <row r="13" spans="1:13" ht="156.75" x14ac:dyDescent="0.25">
      <c r="A13" s="3" t="s">
        <v>237</v>
      </c>
      <c r="B13" s="3" t="s">
        <v>234</v>
      </c>
      <c r="C13" s="3">
        <v>2</v>
      </c>
      <c r="D13" s="3" t="s">
        <v>210</v>
      </c>
      <c r="E13" s="2" t="s">
        <v>235</v>
      </c>
      <c r="F13" s="2" t="s">
        <v>238</v>
      </c>
      <c r="G13" s="3">
        <v>57</v>
      </c>
      <c r="H13" s="3">
        <v>5</v>
      </c>
      <c r="I13" s="4" t="s">
        <v>567</v>
      </c>
      <c r="J13" s="4" t="s">
        <v>570</v>
      </c>
      <c r="K13" s="4" t="s">
        <v>569</v>
      </c>
      <c r="L13" s="3"/>
      <c r="M13" s="5"/>
    </row>
    <row r="14" spans="1:13" ht="42.75" x14ac:dyDescent="0.25">
      <c r="A14" s="3" t="s">
        <v>239</v>
      </c>
      <c r="B14" s="3" t="s">
        <v>234</v>
      </c>
      <c r="C14" s="3">
        <v>3</v>
      </c>
      <c r="D14" s="3" t="s">
        <v>213</v>
      </c>
      <c r="E14" s="2" t="s">
        <v>235</v>
      </c>
      <c r="F14" s="2" t="s">
        <v>240</v>
      </c>
      <c r="G14" s="3">
        <v>17</v>
      </c>
      <c r="H14" s="3">
        <v>3</v>
      </c>
      <c r="I14" s="4" t="s">
        <v>567</v>
      </c>
      <c r="J14" s="4" t="s">
        <v>570</v>
      </c>
      <c r="K14" s="4" t="s">
        <v>569</v>
      </c>
      <c r="L14" s="3"/>
      <c r="M14" s="5"/>
    </row>
    <row r="15" spans="1:13" ht="42.75" x14ac:dyDescent="0.25">
      <c r="A15" s="3" t="s">
        <v>241</v>
      </c>
      <c r="B15" s="3" t="s">
        <v>234</v>
      </c>
      <c r="C15" s="3">
        <v>4</v>
      </c>
      <c r="D15" s="3" t="s">
        <v>216</v>
      </c>
      <c r="E15" s="2" t="s">
        <v>235</v>
      </c>
      <c r="F15" s="2" t="s">
        <v>242</v>
      </c>
      <c r="G15" s="3">
        <v>17</v>
      </c>
      <c r="H15" s="3">
        <v>3</v>
      </c>
      <c r="I15" s="4" t="s">
        <v>567</v>
      </c>
      <c r="J15" s="4" t="s">
        <v>570</v>
      </c>
      <c r="K15" s="4" t="s">
        <v>569</v>
      </c>
      <c r="L15" s="3"/>
      <c r="M15" s="5"/>
    </row>
    <row r="16" spans="1:13" ht="42.75" x14ac:dyDescent="0.25">
      <c r="A16" s="3" t="s">
        <v>243</v>
      </c>
      <c r="B16" s="3" t="s">
        <v>234</v>
      </c>
      <c r="C16" s="3">
        <v>5</v>
      </c>
      <c r="D16" s="3" t="s">
        <v>219</v>
      </c>
      <c r="E16" s="2" t="s">
        <v>235</v>
      </c>
      <c r="F16" s="2" t="s">
        <v>244</v>
      </c>
      <c r="G16" s="3">
        <v>6</v>
      </c>
      <c r="H16" s="3">
        <v>2</v>
      </c>
      <c r="I16" s="4" t="s">
        <v>567</v>
      </c>
      <c r="J16" s="4" t="s">
        <v>570</v>
      </c>
      <c r="K16" s="4" t="s">
        <v>569</v>
      </c>
      <c r="L16" s="3"/>
      <c r="M16" s="5"/>
    </row>
    <row r="17" spans="1:13" ht="237.75" customHeight="1" x14ac:dyDescent="0.25">
      <c r="A17" s="3" t="s">
        <v>245</v>
      </c>
      <c r="B17" s="3" t="s">
        <v>246</v>
      </c>
      <c r="C17" s="3">
        <v>1</v>
      </c>
      <c r="D17" s="3" t="s">
        <v>206</v>
      </c>
      <c r="E17" s="2" t="s">
        <v>247</v>
      </c>
      <c r="F17" s="2" t="s">
        <v>248</v>
      </c>
      <c r="G17" s="3">
        <v>57</v>
      </c>
      <c r="H17" s="3">
        <v>11</v>
      </c>
      <c r="I17" s="4" t="s">
        <v>567</v>
      </c>
      <c r="J17" s="4" t="s">
        <v>568</v>
      </c>
      <c r="K17" s="4" t="s">
        <v>569</v>
      </c>
      <c r="L17" s="3"/>
      <c r="M17" s="5"/>
    </row>
    <row r="18" spans="1:13" ht="358.5" customHeight="1" x14ac:dyDescent="0.25">
      <c r="A18" s="3" t="s">
        <v>249</v>
      </c>
      <c r="B18" s="3" t="s">
        <v>246</v>
      </c>
      <c r="C18" s="3">
        <v>2</v>
      </c>
      <c r="D18" s="3" t="s">
        <v>210</v>
      </c>
      <c r="E18" s="2" t="s">
        <v>247</v>
      </c>
      <c r="F18" s="2" t="s">
        <v>250</v>
      </c>
      <c r="G18" s="3">
        <v>172</v>
      </c>
      <c r="H18" s="3">
        <v>23</v>
      </c>
      <c r="I18" s="4" t="s">
        <v>567</v>
      </c>
      <c r="J18" s="4" t="s">
        <v>570</v>
      </c>
      <c r="K18" s="4" t="s">
        <v>569</v>
      </c>
      <c r="L18" s="3"/>
      <c r="M18" s="5"/>
    </row>
    <row r="19" spans="1:13" ht="356.25" x14ac:dyDescent="0.25">
      <c r="A19" s="3" t="s">
        <v>251</v>
      </c>
      <c r="B19" s="3" t="s">
        <v>246</v>
      </c>
      <c r="C19" s="3">
        <v>3</v>
      </c>
      <c r="D19" s="3" t="s">
        <v>213</v>
      </c>
      <c r="E19" s="2" t="s">
        <v>247</v>
      </c>
      <c r="F19" s="2" t="s">
        <v>252</v>
      </c>
      <c r="G19" s="3">
        <v>70</v>
      </c>
      <c r="H19" s="3">
        <v>11</v>
      </c>
      <c r="I19" s="4" t="s">
        <v>567</v>
      </c>
      <c r="J19" s="4" t="s">
        <v>568</v>
      </c>
      <c r="K19" s="4" t="s">
        <v>569</v>
      </c>
      <c r="L19" s="3"/>
      <c r="M19" s="5"/>
    </row>
    <row r="20" spans="1:13" ht="356.25" x14ac:dyDescent="0.25">
      <c r="A20" s="3" t="s">
        <v>253</v>
      </c>
      <c r="B20" s="3" t="s">
        <v>246</v>
      </c>
      <c r="C20" s="3">
        <v>4</v>
      </c>
      <c r="D20" s="3" t="s">
        <v>216</v>
      </c>
      <c r="E20" s="2" t="s">
        <v>247</v>
      </c>
      <c r="F20" s="2" t="s">
        <v>254</v>
      </c>
      <c r="G20" s="3">
        <v>63</v>
      </c>
      <c r="H20" s="3">
        <v>12</v>
      </c>
      <c r="I20" s="4" t="s">
        <v>567</v>
      </c>
      <c r="J20" s="4" t="s">
        <v>568</v>
      </c>
      <c r="K20" s="4" t="s">
        <v>569</v>
      </c>
      <c r="L20" s="3"/>
      <c r="M20" s="5"/>
    </row>
    <row r="21" spans="1:13" ht="356.25" x14ac:dyDescent="0.25">
      <c r="A21" s="3" t="s">
        <v>255</v>
      </c>
      <c r="B21" s="3" t="s">
        <v>246</v>
      </c>
      <c r="C21" s="3">
        <v>5</v>
      </c>
      <c r="D21" s="3" t="s">
        <v>219</v>
      </c>
      <c r="E21" s="2" t="s">
        <v>247</v>
      </c>
      <c r="F21" s="2" t="s">
        <v>256</v>
      </c>
      <c r="G21" s="3">
        <v>66</v>
      </c>
      <c r="H21" s="3">
        <v>12</v>
      </c>
      <c r="I21" s="4" t="s">
        <v>567</v>
      </c>
      <c r="J21" s="4" t="s">
        <v>568</v>
      </c>
      <c r="K21" s="4" t="s">
        <v>569</v>
      </c>
      <c r="L21" s="3"/>
      <c r="M21" s="5"/>
    </row>
    <row r="22" spans="1:13" ht="150.75" customHeight="1" x14ac:dyDescent="0.25">
      <c r="A22" s="3" t="s">
        <v>257</v>
      </c>
      <c r="B22" s="3" t="s">
        <v>258</v>
      </c>
      <c r="C22" s="3">
        <v>1</v>
      </c>
      <c r="D22" s="3" t="s">
        <v>206</v>
      </c>
      <c r="E22" s="2" t="s">
        <v>259</v>
      </c>
      <c r="F22" s="2" t="s">
        <v>260</v>
      </c>
      <c r="G22" s="3">
        <v>52</v>
      </c>
      <c r="H22" s="3">
        <v>11</v>
      </c>
      <c r="I22" s="4" t="s">
        <v>567</v>
      </c>
      <c r="J22" s="4" t="s">
        <v>568</v>
      </c>
      <c r="K22" s="4" t="s">
        <v>569</v>
      </c>
      <c r="L22" s="3"/>
      <c r="M22" s="5" t="inlineStr">
        <is>
          <t>Olumsuz-koşullu yapıyı aktardı.</t>
        </is>
      </c>
    </row>
    <row r="23" spans="1:13" ht="356.25" x14ac:dyDescent="0.25">
      <c r="A23" s="3" t="s">
        <v>261</v>
      </c>
      <c r="B23" s="3" t="s">
        <v>258</v>
      </c>
      <c r="C23" s="3">
        <v>2</v>
      </c>
      <c r="D23" s="3" t="s">
        <v>210</v>
      </c>
      <c r="E23" s="2" t="s">
        <v>259</v>
      </c>
      <c r="F23" s="2" t="s">
        <v>262</v>
      </c>
      <c r="G23" s="3">
        <v>128</v>
      </c>
      <c r="H23" s="3">
        <v>19</v>
      </c>
      <c r="I23" s="4" t="s">
        <v>567</v>
      </c>
      <c r="J23" s="4" t="s">
        <v>570</v>
      </c>
      <c r="K23" s="4" t="s">
        <v>569</v>
      </c>
      <c r="L23" s="3"/>
      <c r="M23" s="5" t="inlineStr">
        <is>
          <t>Olumsuz-koşullu yapıyı aktardı.</t>
        </is>
      </c>
    </row>
    <row r="24" spans="1:13" ht="249.75" customHeight="1" x14ac:dyDescent="0.25">
      <c r="A24" s="3" t="s">
        <v>263</v>
      </c>
      <c r="B24" s="3" t="s">
        <v>258</v>
      </c>
      <c r="C24" s="3">
        <v>3</v>
      </c>
      <c r="D24" s="3" t="s">
        <v>213</v>
      </c>
      <c r="E24" s="2" t="s">
        <v>259</v>
      </c>
      <c r="F24" s="2" t="s">
        <v>264</v>
      </c>
      <c r="G24" s="3">
        <v>18</v>
      </c>
      <c r="H24" s="3">
        <v>2</v>
      </c>
      <c r="I24" s="4" t="s">
        <v>571</v>
      </c>
      <c r="J24" s="4" t="s">
        <v>572</v>
      </c>
      <c r="K24" s="4" t="s">
        <v>569</v>
      </c>
      <c r="L24" s="3"/>
      <c r="M24" s="5" t="inlineStr">
        <is>
          <t>Hedef dilde yanıt yok: Türkçe ret. Olumsuz-koşullu yapı değerlendirilemedi.</t>
        </is>
      </c>
    </row>
    <row r="25" spans="1:13" ht="356.25" x14ac:dyDescent="0.25">
      <c r="A25" s="3" t="s">
        <v>265</v>
      </c>
      <c r="B25" s="3" t="s">
        <v>258</v>
      </c>
      <c r="C25" s="3">
        <v>4</v>
      </c>
      <c r="D25" s="3" t="s">
        <v>216</v>
      </c>
      <c r="E25" s="2" t="s">
        <v>259</v>
      </c>
      <c r="F25" s="2" t="s">
        <v>266</v>
      </c>
      <c r="G25" s="3">
        <v>68</v>
      </c>
      <c r="H25" s="3">
        <v>13</v>
      </c>
      <c r="I25" s="4" t="s">
        <v>567</v>
      </c>
      <c r="J25" s="4" t="s">
        <v>570</v>
      </c>
      <c r="K25" s="4" t="s">
        <v>569</v>
      </c>
      <c r="L25" s="3"/>
      <c r="M25" s="5" t="inlineStr">
        <is>
          <t>Olumsuz-koşullu yapıyı aktardı.</t>
        </is>
      </c>
    </row>
    <row r="26" spans="1:13" ht="356.25" x14ac:dyDescent="0.25">
      <c r="A26" s="3" t="s">
        <v>267</v>
      </c>
      <c r="B26" s="3" t="s">
        <v>258</v>
      </c>
      <c r="C26" s="3">
        <v>5</v>
      </c>
      <c r="D26" s="3" t="s">
        <v>219</v>
      </c>
      <c r="E26" s="2" t="s">
        <v>259</v>
      </c>
      <c r="F26" s="2" t="s">
        <v>268</v>
      </c>
      <c r="G26" s="3">
        <v>52</v>
      </c>
      <c r="H26" s="3">
        <v>12</v>
      </c>
      <c r="I26" s="4" t="s">
        <v>567</v>
      </c>
      <c r="J26" s="4" t="s">
        <v>570</v>
      </c>
      <c r="K26" s="4" t="s">
        <v>569</v>
      </c>
      <c r="L26" s="3"/>
      <c r="M26" s="5" t="inlineStr">
        <is>
          <t>Olumsuz-koşullu yapıyı aktardı.</t>
        </is>
      </c>
    </row>
    <row r="27" spans="1:13" ht="57" x14ac:dyDescent="0.25">
      <c r="A27" s="3" t="s">
        <v>269</v>
      </c>
      <c r="B27" s="3" t="s">
        <v>270</v>
      </c>
      <c r="C27" s="3">
        <v>1</v>
      </c>
      <c r="D27" s="3" t="s">
        <v>206</v>
      </c>
      <c r="E27" s="2" t="s">
        <v>271</v>
      </c>
      <c r="F27" s="2" t="s">
        <v>272</v>
      </c>
      <c r="G27" s="3">
        <v>22</v>
      </c>
      <c r="H27" s="3">
        <v>2</v>
      </c>
      <c r="I27" s="4" t="s">
        <v>567</v>
      </c>
      <c r="J27" s="4" t="s">
        <v>570</v>
      </c>
      <c r="K27" s="4" t="s">
        <v>569</v>
      </c>
      <c r="L27" s="3"/>
      <c r="M27" s="5"/>
    </row>
    <row r="28" spans="1:13" ht="114" x14ac:dyDescent="0.25">
      <c r="A28" s="3" t="s">
        <v>273</v>
      </c>
      <c r="B28" s="3" t="s">
        <v>270</v>
      </c>
      <c r="C28" s="3">
        <v>2</v>
      </c>
      <c r="D28" s="3" t="s">
        <v>210</v>
      </c>
      <c r="E28" s="2" t="s">
        <v>271</v>
      </c>
      <c r="F28" s="2" t="s">
        <v>274</v>
      </c>
      <c r="G28" s="3">
        <v>51</v>
      </c>
      <c r="H28" s="3">
        <v>4</v>
      </c>
      <c r="I28" s="4" t="s">
        <v>567</v>
      </c>
      <c r="J28" s="4" t="s">
        <v>570</v>
      </c>
      <c r="K28" s="4" t="s">
        <v>569</v>
      </c>
      <c r="L28" s="3"/>
      <c r="M28" s="5"/>
    </row>
    <row r="29" spans="1:13" ht="71.25" x14ac:dyDescent="0.25">
      <c r="A29" s="3" t="s">
        <v>275</v>
      </c>
      <c r="B29" s="3" t="s">
        <v>270</v>
      </c>
      <c r="C29" s="3">
        <v>3</v>
      </c>
      <c r="D29" s="3" t="s">
        <v>213</v>
      </c>
      <c r="E29" s="2" t="s">
        <v>271</v>
      </c>
      <c r="F29" s="2" t="s">
        <v>276</v>
      </c>
      <c r="G29" s="3">
        <v>25</v>
      </c>
      <c r="H29" s="3">
        <v>2</v>
      </c>
      <c r="I29" s="4" t="s">
        <v>567</v>
      </c>
      <c r="J29" s="4" t="s">
        <v>570</v>
      </c>
      <c r="K29" s="4" t="s">
        <v>569</v>
      </c>
      <c r="L29" s="3"/>
      <c r="M29" s="5"/>
    </row>
    <row r="30" spans="1:13" ht="99.75" x14ac:dyDescent="0.25">
      <c r="A30" s="3" t="s">
        <v>277</v>
      </c>
      <c r="B30" s="3" t="s">
        <v>270</v>
      </c>
      <c r="C30" s="3">
        <v>4</v>
      </c>
      <c r="D30" s="3" t="s">
        <v>216</v>
      </c>
      <c r="E30" s="2" t="s">
        <v>271</v>
      </c>
      <c r="F30" s="2" t="s">
        <v>278</v>
      </c>
      <c r="G30" s="3">
        <v>49</v>
      </c>
      <c r="H30" s="3">
        <v>2</v>
      </c>
      <c r="I30" s="4" t="s">
        <v>567</v>
      </c>
      <c r="J30" s="4" t="s">
        <v>570</v>
      </c>
      <c r="K30" s="4" t="s">
        <v>569</v>
      </c>
      <c r="L30" s="3"/>
      <c r="M30" s="5"/>
    </row>
    <row r="31" spans="1:13" ht="71.25" x14ac:dyDescent="0.25">
      <c r="A31" s="3" t="s">
        <v>279</v>
      </c>
      <c r="B31" s="3" t="s">
        <v>270</v>
      </c>
      <c r="C31" s="3">
        <v>5</v>
      </c>
      <c r="D31" s="3" t="s">
        <v>219</v>
      </c>
      <c r="E31" s="2" t="s">
        <v>271</v>
      </c>
      <c r="F31" s="2" t="s">
        <v>280</v>
      </c>
      <c r="G31" s="3">
        <v>26</v>
      </c>
      <c r="H31" s="3">
        <v>3</v>
      </c>
      <c r="I31" s="4" t="s">
        <v>567</v>
      </c>
      <c r="J31" s="4" t="s">
        <v>570</v>
      </c>
      <c r="K31" s="4" t="s">
        <v>569</v>
      </c>
      <c r="L31" s="3"/>
      <c r="M31" s="5"/>
    </row>
    <row r="32" spans="1:13" ht="71.25" x14ac:dyDescent="0.25">
      <c r="A32" s="3" t="s">
        <v>281</v>
      </c>
      <c r="B32" s="3" t="s">
        <v>282</v>
      </c>
      <c r="C32" s="3">
        <v>1</v>
      </c>
      <c r="D32" s="3" t="s">
        <v>206</v>
      </c>
      <c r="E32" s="2" t="s">
        <v>283</v>
      </c>
      <c r="F32" s="2" t="s">
        <v>284</v>
      </c>
      <c r="G32" s="3">
        <v>2</v>
      </c>
      <c r="H32" s="3">
        <v>1</v>
      </c>
      <c r="I32" s="4" t="s">
        <v>574</v>
      </c>
      <c r="J32" s="4" t="s">
        <v>568</v>
      </c>
      <c r="K32" s="4" t="s">
        <v>569</v>
      </c>
      <c r="L32" s="4" t="s">
        <v>575</v>
      </c>
      <c r="M32" s="5" t="inlineStr">
        <is>
          <t>Fark yok dedi. Bellek açık olduğu için kopya sondası bu oturumda yorumlanamaz (bkz. S4 ve S5 notları).</t>
        </is>
      </c>
    </row>
    <row r="33" spans="1:13" ht="356.25" x14ac:dyDescent="0.25">
      <c r="A33" s="3" t="s">
        <v>285</v>
      </c>
      <c r="B33" s="3" t="s">
        <v>282</v>
      </c>
      <c r="C33" s="3">
        <v>2</v>
      </c>
      <c r="D33" s="3" t="s">
        <v>210</v>
      </c>
      <c r="E33" s="2" t="s">
        <v>283</v>
      </c>
      <c r="F33" s="2" t="s">
        <v>286</v>
      </c>
      <c r="G33" s="3">
        <v>125</v>
      </c>
      <c r="H33" s="3">
        <v>11</v>
      </c>
      <c r="I33" s="4" t="s">
        <v>567</v>
      </c>
      <c r="J33" s="4" t="s">
        <v>568</v>
      </c>
      <c r="K33" s="4" t="s">
        <v>569</v>
      </c>
      <c r="L33" s="4" t="s">
        <v>576</v>
      </c>
      <c r="M33" s="5" t="inlineStr">
        <is>
          <t>Gerçek farklardan yalnız birini buldu, ama olmayan farklar da üretti.</t>
        </is>
      </c>
    </row>
    <row r="34" spans="1:13" ht="270.75" x14ac:dyDescent="0.25">
      <c r="A34" s="3" t="s">
        <v>287</v>
      </c>
      <c r="B34" s="3" t="s">
        <v>282</v>
      </c>
      <c r="C34" s="3">
        <v>3</v>
      </c>
      <c r="D34" s="3" t="s">
        <v>213</v>
      </c>
      <c r="E34" s="2" t="s">
        <v>283</v>
      </c>
      <c r="F34" s="2" t="s">
        <v>288</v>
      </c>
      <c r="G34" s="3">
        <v>89</v>
      </c>
      <c r="H34" s="3">
        <v>10</v>
      </c>
      <c r="I34" s="4" t="s">
        <v>567</v>
      </c>
      <c r="J34" s="4" t="s">
        <v>570</v>
      </c>
      <c r="K34" s="4" t="s">
        <v>569</v>
      </c>
      <c r="L34" s="4" t="s">
        <v>576</v>
      </c>
      <c r="M34" s="5" t="inlineStr">
        <is>
          <t>Gerçek farkları buldu, ama olmayan farklar da üretti.</t>
        </is>
      </c>
    </row>
    <row r="35" spans="1:13" ht="299.25" x14ac:dyDescent="0.25">
      <c r="A35" s="3" t="s">
        <v>289</v>
      </c>
      <c r="B35" s="3" t="s">
        <v>282</v>
      </c>
      <c r="C35" s="3">
        <v>4</v>
      </c>
      <c r="D35" s="3" t="s">
        <v>216</v>
      </c>
      <c r="E35" s="2" t="s">
        <v>283</v>
      </c>
      <c r="F35" s="2" t="s">
        <v>290</v>
      </c>
      <c r="G35" s="3">
        <v>89</v>
      </c>
      <c r="H35" s="3">
        <v>11</v>
      </c>
      <c r="I35" s="4" t="s">
        <v>567</v>
      </c>
      <c r="J35" s="4" t="s">
        <v>570</v>
      </c>
      <c r="K35" s="4" t="s">
        <v>569</v>
      </c>
      <c r="L35" s="4" t="s">
        <v>576</v>
      </c>
      <c r="M35" s="5" t="inlineStr">
        <is>
          <t>Gerçek farkları buldu, ama olmayan farklar da üretti.</t>
        </is>
      </c>
    </row>
    <row r="36" spans="1:13" ht="199.5" x14ac:dyDescent="0.25">
      <c r="A36" s="3" t="s">
        <v>291</v>
      </c>
      <c r="B36" s="3" t="s">
        <v>282</v>
      </c>
      <c r="C36" s="3">
        <v>5</v>
      </c>
      <c r="D36" s="3" t="s">
        <v>219</v>
      </c>
      <c r="E36" s="2" t="s">
        <v>283</v>
      </c>
      <c r="F36" s="2" t="s">
        <v>292</v>
      </c>
      <c r="G36" s="3">
        <v>42</v>
      </c>
      <c r="H36" s="3">
        <v>5</v>
      </c>
      <c r="I36" s="4" t="s">
        <v>567</v>
      </c>
      <c r="J36" s="4" t="s">
        <v>570</v>
      </c>
      <c r="K36" s="4" t="s">
        <v>569</v>
      </c>
      <c r="L36" s="4" t="s">
        <v>576</v>
      </c>
      <c r="M36" s="5" t="inlineStr">
        <is>
          <t>Gerçek farkları buldu.</t>
        </is>
      </c>
    </row>
  </sheetData>
  <sheetProtection sheet="1" objects="1" scenarios="1" formatColumns="0" formatRows="0"/>
  <dataValidations count="4">
    <dataValidation type="list" allowBlank="1" showErrorMessage="1" sqref="I2:I36" xr:uid="{00000000-0002-0000-0100-000000000000}">
      <formula1>"tam / полное,kısmen / частичное,uyum yok / нет"</formula1>
    </dataValidation>
    <dataValidation type="list" allowBlank="1" showErrorMessage="1" sqref="J2:J36" xr:uid="{00000000-0002-0000-0100-000001000000}">
      <formula1>"karşıladı / отвечает,kısmen karşıladı / частично,alakasız / не по теме"</formula1>
    </dataValidation>
    <dataValidation type="list" allowBlank="1" showErrorMessage="1" sqref="K2:K36" xr:uid="{00000000-0002-0000-0100-000002000000}">
      <formula1>"evet / да,hayır / нет"</formula1>
    </dataValidation>
    <dataValidation type="list" allowBlank="1" showErrorMessage="1" sqref="L32:L36" xr:uid="{00000000-0002-0000-0100-000003000000}">
      <formula1>"iki metni de işlemiştir / обработал оба текста,metinleri hizalamamıştır / не сопоставил тексты,olmayan bir fark uydurmuştur (halüsinasyon) / придумал несуществующее различие (галлюцинация)"</formula1>
    </dataValidation>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51"/>
  <sheetViews>
    <sheetView tabSelected="1" zoomScale="130" zoomScaleNormal="130" workbookViewId="0">
      <pane xSplit="6" ySplit="1" topLeftCell="G232" activePane="bottomRight" state="frozen"/>
      <selection pane="topRight"/>
      <selection pane="bottomLeft"/>
      <selection pane="bottomRight" activeCell="G238" sqref="G238"/>
    </sheetView>
  </sheetViews>
  <sheetFormatPr defaultRowHeight="14.25" x14ac:dyDescent="0.25"/>
  <cols>
    <col min="1" max="1" width="14" customWidth="1"/>
    <col min="2" max="2" width="9" customWidth="1"/>
    <col min="3" max="3" width="8" customWidth="1"/>
    <col min="4" max="4" width="9" customWidth="1"/>
    <col min="5" max="5" width="60.5703125" customWidth="1"/>
    <col min="6" max="6" width="9" customWidth="1"/>
    <col min="7" max="7" width="20" customWidth="1"/>
    <col min="8" max="11" width="9" customWidth="1"/>
    <col min="12" max="13" width="11" customWidth="1"/>
    <col min="14" max="17" width="7" customWidth="1"/>
    <col min="18" max="18" width="9" customWidth="1"/>
    <col min="19" max="19" width="14" customWidth="1"/>
    <col min="20" max="20" width="20" customWidth="1"/>
  </cols>
  <sheetData>
    <row r="1" spans="1:20" ht="135" customHeight="1" x14ac:dyDescent="0.25">
      <c r="A1" s="1" t="s">
        <v>191</v>
      </c>
      <c r="B1" s="1" t="s">
        <v>192</v>
      </c>
      <c r="C1" s="1" t="s">
        <v>193</v>
      </c>
      <c r="D1" s="1" t="s">
        <v>293</v>
      </c>
      <c r="E1" s="1" t="s">
        <v>294</v>
      </c>
      <c r="F1" s="1" t="s">
        <v>197</v>
      </c>
      <c r="G1" s="1" t="s">
        <v>295</v>
      </c>
      <c r="H1" s="1" t="s">
        <v>296</v>
      </c>
      <c r="I1" s="1" t="s">
        <v>297</v>
      </c>
      <c r="J1" s="1" t="s">
        <v>298</v>
      </c>
      <c r="K1" s="1" t="s">
        <v>299</v>
      </c>
      <c r="L1" s="1" t="s">
        <v>300</v>
      </c>
      <c r="M1" s="1" t="s">
        <v>301</v>
      </c>
      <c r="N1" s="1" t="s">
        <v>302</v>
      </c>
      <c r="O1" s="1" t="s">
        <v>303</v>
      </c>
      <c r="P1" s="1" t="s">
        <v>304</v>
      </c>
      <c r="Q1" s="1" t="s">
        <v>305</v>
      </c>
      <c r="R1" s="1" t="s">
        <v>306</v>
      </c>
      <c r="S1" s="1" t="s">
        <v>307</v>
      </c>
      <c r="T1" s="1" t="s">
        <v>203</v>
      </c>
    </row>
    <row r="2" spans="1:20" x14ac:dyDescent="0.25">
      <c r="A2" s="3" t="s">
        <v>204</v>
      </c>
      <c r="B2" s="3" t="s">
        <v>205</v>
      </c>
      <c r="C2" s="3">
        <v>1</v>
      </c>
      <c r="D2" s="3">
        <v>1</v>
      </c>
      <c r="E2" s="2" t="s">
        <v>308</v>
      </c>
      <c r="F2" s="3">
        <v>2</v>
      </c>
      <c r="G2" s="4" t="s">
        <v>577</v>
      </c>
      <c r="H2" s="4"/>
      <c r="I2" s="4"/>
      <c r="J2" s="4"/>
      <c r="K2" s="4"/>
      <c r="L2" s="3">
        <f t="shared" ref="L2:L65" si="0">F2-(H2+I2+J2+K2)</f>
        <v>2</v>
      </c>
      <c r="M2" s="4"/>
      <c r="N2" s="4"/>
      <c r="O2" s="4"/>
      <c r="P2" s="4"/>
      <c r="Q2" s="4"/>
      <c r="R2" s="4"/>
      <c r="S2" s="3">
        <f t="shared" ref="S2:S65" si="1">N2+O2+P2+Q2+R2</f>
        <v>0</v>
      </c>
      <c r="T2" s="5"/>
    </row>
    <row r="3" spans="1:20" ht="28.5" x14ac:dyDescent="0.25">
      <c r="A3" s="3" t="s">
        <v>204</v>
      </c>
      <c r="B3" s="3" t="s">
        <v>205</v>
      </c>
      <c r="C3" s="3">
        <v>1</v>
      </c>
      <c r="D3" s="3">
        <v>2</v>
      </c>
      <c r="E3" s="2" t="s">
        <v>309</v>
      </c>
      <c r="F3" s="3">
        <v>3</v>
      </c>
      <c r="G3" s="4" t="s">
        <v>578</v>
      </c>
      <c r="H3" s="4"/>
      <c r="I3" s="4"/>
      <c r="J3" s="4"/>
      <c r="K3" s="4">
        <v>1</v>
      </c>
      <c r="L3" s="3">
        <f t="shared" si="0"/>
        <v>2</v>
      </c>
      <c r="M3" s="4"/>
      <c r="N3" s="4">
        <v>1</v>
      </c>
      <c r="O3" s="4"/>
      <c r="P3" s="4"/>
      <c r="Q3" s="4"/>
      <c r="R3" s="4"/>
      <c r="S3" s="3">
        <f t="shared" si="1"/>
        <v>1</v>
      </c>
      <c r="T3" s="5"/>
    </row>
    <row r="4" spans="1:20" ht="28.5" x14ac:dyDescent="0.25">
      <c r="A4" s="3" t="s">
        <v>204</v>
      </c>
      <c r="B4" s="3" t="s">
        <v>205</v>
      </c>
      <c r="C4" s="3">
        <v>1</v>
      </c>
      <c r="D4" s="3">
        <v>3</v>
      </c>
      <c r="E4" s="2" t="s">
        <v>310</v>
      </c>
      <c r="F4" s="3">
        <v>3</v>
      </c>
      <c r="G4" s="4" t="s">
        <v>578</v>
      </c>
      <c r="H4" s="4">
        <v>1</v>
      </c>
      <c r="I4" s="4">
        <v>2</v>
      </c>
      <c r="J4" s="4"/>
      <c r="K4" s="4"/>
      <c r="L4" s="3">
        <f t="shared" si="0"/>
        <v>0</v>
      </c>
      <c r="M4" s="4"/>
      <c r="N4" s="4"/>
      <c r="O4" s="4"/>
      <c r="P4" s="4"/>
      <c r="Q4" s="4"/>
      <c r="R4" s="4"/>
      <c r="S4" s="3">
        <f t="shared" si="1"/>
        <v>0</v>
      </c>
      <c r="T4" s="5"/>
    </row>
    <row r="5" spans="1:20" ht="28.5" x14ac:dyDescent="0.25">
      <c r="A5" s="3" t="s">
        <v>204</v>
      </c>
      <c r="B5" s="3" t="s">
        <v>205</v>
      </c>
      <c r="C5" s="3">
        <v>1</v>
      </c>
      <c r="D5" s="3">
        <v>4</v>
      </c>
      <c r="E5" s="2" t="s">
        <v>311</v>
      </c>
      <c r="F5" s="3">
        <v>2</v>
      </c>
      <c r="G5" s="4" t="s">
        <v>578</v>
      </c>
      <c r="H5" s="4">
        <v>1</v>
      </c>
      <c r="I5" s="4"/>
      <c r="J5" s="4"/>
      <c r="K5" s="4"/>
      <c r="L5" s="3">
        <f t="shared" si="0"/>
        <v>1</v>
      </c>
      <c r="M5" s="4"/>
      <c r="N5" s="4"/>
      <c r="O5" s="4"/>
      <c r="P5" s="4"/>
      <c r="Q5" s="4"/>
      <c r="R5" s="4"/>
      <c r="S5" s="3">
        <f t="shared" si="1"/>
        <v>0</v>
      </c>
      <c r="T5" s="5"/>
    </row>
    <row r="6" spans="1:20" x14ac:dyDescent="0.25">
      <c r="A6" s="3" t="s">
        <v>209</v>
      </c>
      <c r="B6" s="3" t="s">
        <v>205</v>
      </c>
      <c r="C6" s="3">
        <v>2</v>
      </c>
      <c r="D6" s="3">
        <v>1</v>
      </c>
      <c r="E6" s="2" t="s">
        <v>308</v>
      </c>
      <c r="F6" s="3">
        <v>2</v>
      </c>
      <c r="G6" s="4" t="s">
        <v>577</v>
      </c>
      <c r="H6" s="4"/>
      <c r="I6" s="4"/>
      <c r="J6" s="4"/>
      <c r="K6" s="4"/>
      <c r="L6" s="3">
        <f t="shared" si="0"/>
        <v>2</v>
      </c>
      <c r="M6" s="4"/>
      <c r="N6" s="4"/>
      <c r="O6" s="4"/>
      <c r="P6" s="4"/>
      <c r="Q6" s="4"/>
      <c r="R6" s="4"/>
      <c r="S6" s="3">
        <f t="shared" si="1"/>
        <v>0</v>
      </c>
      <c r="T6" s="5"/>
    </row>
    <row r="7" spans="1:20" ht="28.5" x14ac:dyDescent="0.25">
      <c r="A7" s="3" t="s">
        <v>209</v>
      </c>
      <c r="B7" s="3" t="s">
        <v>205</v>
      </c>
      <c r="C7" s="3">
        <v>2</v>
      </c>
      <c r="D7" s="3">
        <v>2</v>
      </c>
      <c r="E7" s="2" t="s">
        <v>312</v>
      </c>
      <c r="F7" s="3">
        <v>7</v>
      </c>
      <c r="G7" s="4" t="s">
        <v>578</v>
      </c>
      <c r="H7" s="4">
        <v>1</v>
      </c>
      <c r="I7" s="4"/>
      <c r="J7" s="4"/>
      <c r="K7" s="4"/>
      <c r="L7" s="3">
        <f t="shared" si="0"/>
        <v>6</v>
      </c>
      <c r="M7" s="4"/>
      <c r="N7" s="4"/>
      <c r="O7" s="4"/>
      <c r="P7" s="4"/>
      <c r="Q7" s="4"/>
      <c r="R7" s="4"/>
      <c r="S7" s="3">
        <f t="shared" si="1"/>
        <v>0</v>
      </c>
      <c r="T7" s="5"/>
    </row>
    <row r="8" spans="1:20" ht="28.5" x14ac:dyDescent="0.25">
      <c r="A8" s="3" t="s">
        <v>209</v>
      </c>
      <c r="B8" s="3" t="s">
        <v>205</v>
      </c>
      <c r="C8" s="3">
        <v>2</v>
      </c>
      <c r="D8" s="3">
        <v>3</v>
      </c>
      <c r="E8" s="2" t="s">
        <v>313</v>
      </c>
      <c r="F8" s="3">
        <v>9</v>
      </c>
      <c r="G8" s="4" t="s">
        <v>578</v>
      </c>
      <c r="H8" s="4">
        <v>4</v>
      </c>
      <c r="I8" s="4"/>
      <c r="J8" s="4"/>
      <c r="K8" s="4">
        <v>2</v>
      </c>
      <c r="L8" s="3">
        <f t="shared" si="0"/>
        <v>3</v>
      </c>
      <c r="M8" s="4"/>
      <c r="N8" s="4">
        <v>2</v>
      </c>
      <c r="O8" s="4"/>
      <c r="P8" s="4"/>
      <c r="Q8" s="4"/>
      <c r="R8" s="4"/>
      <c r="S8" s="3">
        <f t="shared" si="1"/>
        <v>2</v>
      </c>
      <c r="T8" s="5"/>
    </row>
    <row r="9" spans="1:20" ht="28.5" x14ac:dyDescent="0.25">
      <c r="A9" s="3" t="s">
        <v>209</v>
      </c>
      <c r="B9" s="3" t="s">
        <v>205</v>
      </c>
      <c r="C9" s="3">
        <v>2</v>
      </c>
      <c r="D9" s="3">
        <v>4</v>
      </c>
      <c r="E9" s="2" t="s">
        <v>314</v>
      </c>
      <c r="F9" s="3">
        <v>7</v>
      </c>
      <c r="G9" s="4" t="s">
        <v>578</v>
      </c>
      <c r="H9" s="4">
        <v>1</v>
      </c>
      <c r="I9" s="4"/>
      <c r="J9" s="4"/>
      <c r="K9" s="4">
        <v>2</v>
      </c>
      <c r="L9" s="3">
        <f t="shared" si="0"/>
        <v>4</v>
      </c>
      <c r="M9" s="4"/>
      <c r="N9" s="4">
        <v>2</v>
      </c>
      <c r="O9" s="4"/>
      <c r="P9" s="4"/>
      <c r="Q9" s="4"/>
      <c r="R9" s="4"/>
      <c r="S9" s="3">
        <f t="shared" si="1"/>
        <v>2</v>
      </c>
      <c r="T9" s="5"/>
    </row>
    <row r="10" spans="1:20" ht="28.5" x14ac:dyDescent="0.25">
      <c r="A10" s="3" t="s">
        <v>209</v>
      </c>
      <c r="B10" s="3" t="s">
        <v>205</v>
      </c>
      <c r="C10" s="3">
        <v>2</v>
      </c>
      <c r="D10" s="3">
        <v>5</v>
      </c>
      <c r="E10" s="2" t="s">
        <v>315</v>
      </c>
      <c r="F10" s="3">
        <v>6</v>
      </c>
      <c r="G10" s="4" t="s">
        <v>578</v>
      </c>
      <c r="H10" s="4">
        <v>1</v>
      </c>
      <c r="I10" s="4"/>
      <c r="J10" s="4">
        <v>1</v>
      </c>
      <c r="K10" s="4">
        <v>2</v>
      </c>
      <c r="L10" s="3">
        <f t="shared" si="0"/>
        <v>2</v>
      </c>
      <c r="M10" s="4"/>
      <c r="N10" s="4">
        <v>1</v>
      </c>
      <c r="O10" s="4">
        <v>1</v>
      </c>
      <c r="P10" s="4"/>
      <c r="Q10" s="4"/>
      <c r="R10" s="4"/>
      <c r="S10" s="3">
        <f t="shared" si="1"/>
        <v>2</v>
      </c>
      <c r="T10" s="5"/>
    </row>
    <row r="11" spans="1:20" x14ac:dyDescent="0.25">
      <c r="A11" s="3" t="s">
        <v>212</v>
      </c>
      <c r="B11" s="3" t="s">
        <v>205</v>
      </c>
      <c r="C11" s="3">
        <v>3</v>
      </c>
      <c r="D11" s="3">
        <v>1</v>
      </c>
      <c r="E11" s="2" t="s">
        <v>308</v>
      </c>
      <c r="F11" s="3">
        <v>2</v>
      </c>
      <c r="G11" s="4" t="s">
        <v>577</v>
      </c>
      <c r="H11" s="4"/>
      <c r="I11" s="4"/>
      <c r="J11" s="4"/>
      <c r="K11" s="4"/>
      <c r="L11" s="3">
        <f t="shared" si="0"/>
        <v>2</v>
      </c>
      <c r="M11" s="4"/>
      <c r="N11" s="4"/>
      <c r="O11" s="4"/>
      <c r="P11" s="4"/>
      <c r="Q11" s="4"/>
      <c r="R11" s="4"/>
      <c r="S11" s="3">
        <f t="shared" si="1"/>
        <v>0</v>
      </c>
      <c r="T11" s="5"/>
    </row>
    <row r="12" spans="1:20" ht="28.5" x14ac:dyDescent="0.25">
      <c r="A12" s="3" t="s">
        <v>212</v>
      </c>
      <c r="B12" s="3" t="s">
        <v>205</v>
      </c>
      <c r="C12" s="3">
        <v>3</v>
      </c>
      <c r="D12" s="3">
        <v>2</v>
      </c>
      <c r="E12" s="2" t="inlineStr">
        <is>
          <t xml:space="preserve">Сэра Γущыӏэгъур (Gemini), уи IэпыIэгъу шъхьаIэ.</t>
        </is>
      </c>
      <c r="F12" s="3">
        <v>6</v>
      </c>
      <c r="G12" s="4" t="s">
        <v>578</v>
      </c>
      <c r="H12" s="4">
        <v>1</v>
      </c>
      <c r="I12" s="4"/>
      <c r="J12" s="4">
        <v>1</v>
      </c>
      <c r="K12" s="4"/>
      <c r="L12" s="3">
        <f t="shared" si="0"/>
        <v>4</v>
      </c>
      <c r="M12" s="4"/>
      <c r="N12" s="4"/>
      <c r="O12" s="4"/>
      <c r="P12" s="4"/>
      <c r="Q12" s="4"/>
      <c r="R12" s="4"/>
      <c r="S12" s="3">
        <f t="shared" si="1"/>
        <v>0</v>
      </c>
      <c r="T12" s="5" t="inlineStr">
        <is>
          <t>Yazı sistemi karışıklığı.</t>
        </is>
      </c>
    </row>
    <row r="13" spans="1:20" ht="28.5" x14ac:dyDescent="0.25">
      <c r="A13" s="3" t="s">
        <v>212</v>
      </c>
      <c r="B13" s="3" t="s">
        <v>205</v>
      </c>
      <c r="C13" s="3">
        <v>3</v>
      </c>
      <c r="D13" s="3">
        <v>3</v>
      </c>
      <c r="E13" s="2" t="inlineStr">
        <is>
          <t xml:space="preserve">Арэтышъ, сыдэдэ къыпфэсIошъун фае?</t>
        </is>
      </c>
      <c r="F13" s="3">
        <v>4</v>
      </c>
      <c r="G13" s="4" t="s">
        <v>578</v>
      </c>
      <c r="H13" s="4">
        <v>4</v>
      </c>
      <c r="I13" s="4"/>
      <c r="J13" s="4"/>
      <c r="K13" s="4"/>
      <c r="L13" s="3">
        <f t="shared" si="0"/>
        <v>0</v>
      </c>
      <c r="M13" s="4"/>
      <c r="N13" s="4"/>
      <c r="O13" s="4"/>
      <c r="P13" s="4"/>
      <c r="Q13" s="4"/>
      <c r="R13" s="4"/>
      <c r="S13" s="3">
        <f t="shared" si="1"/>
        <v>0</v>
      </c>
      <c r="T13" s="5" t="inlineStr">
        <is>
          <t>Yazı sistemi karışıklığı.</t>
        </is>
      </c>
    </row>
    <row r="14" spans="1:20" ht="28.5" x14ac:dyDescent="0.25">
      <c r="A14" s="3" t="s">
        <v>212</v>
      </c>
      <c r="B14" s="3" t="s">
        <v>205</v>
      </c>
      <c r="C14" s="3">
        <v>3</v>
      </c>
      <c r="D14" s="3">
        <v>4</v>
      </c>
      <c r="E14" s="2" t="inlineStr">
        <is>
          <t xml:space="preserve">Сыда уишIоигъоныгъэ е къэпшIэ шIоигъур?</t>
        </is>
      </c>
      <c r="F14" s="3">
        <v>5</v>
      </c>
      <c r="G14" s="4" t="s">
        <v>578</v>
      </c>
      <c r="H14" s="4">
        <v>2</v>
      </c>
      <c r="I14" s="4"/>
      <c r="J14" s="4"/>
      <c r="K14" s="4"/>
      <c r="L14" s="3">
        <f t="shared" si="0"/>
        <v>3</v>
      </c>
      <c r="M14" s="4"/>
      <c r="N14" s="4"/>
      <c r="O14" s="4"/>
      <c r="P14" s="4"/>
      <c r="Q14" s="4"/>
      <c r="R14" s="4"/>
      <c r="S14" s="3">
        <f t="shared" si="1"/>
        <v>0</v>
      </c>
      <c r="T14" s="5" t="inlineStr">
        <is>
          <t>Yazı sistemi karışıklığı.</t>
        </is>
      </c>
    </row>
    <row r="15" spans="1:20" x14ac:dyDescent="0.25">
      <c r="A15" s="3" t="s">
        <v>215</v>
      </c>
      <c r="B15" s="3" t="s">
        <v>205</v>
      </c>
      <c r="C15" s="3">
        <v>4</v>
      </c>
      <c r="D15" s="3">
        <v>1</v>
      </c>
      <c r="E15" s="2" t="s">
        <v>308</v>
      </c>
      <c r="F15" s="3">
        <v>2</v>
      </c>
      <c r="G15" s="4" t="s">
        <v>577</v>
      </c>
      <c r="H15" s="4"/>
      <c r="I15" s="4"/>
      <c r="J15" s="4"/>
      <c r="K15" s="4"/>
      <c r="L15" s="3">
        <f t="shared" si="0"/>
        <v>2</v>
      </c>
      <c r="M15" s="4"/>
      <c r="N15" s="4"/>
      <c r="O15" s="4"/>
      <c r="P15" s="4"/>
      <c r="Q15" s="4"/>
      <c r="R15" s="4"/>
      <c r="S15" s="3">
        <f t="shared" si="1"/>
        <v>0</v>
      </c>
      <c r="T15" s="5"/>
    </row>
    <row r="16" spans="1:20" ht="28.5" x14ac:dyDescent="0.25">
      <c r="A16" s="3" t="s">
        <v>215</v>
      </c>
      <c r="B16" s="3" t="s">
        <v>205</v>
      </c>
      <c r="C16" s="3">
        <v>4</v>
      </c>
      <c r="D16" s="3">
        <v>2</v>
      </c>
      <c r="E16" s="2" t="inlineStr">
        <is>
          <t xml:space="preserve">Сэ сы-ИИ-щIэныгъэ-бот, адыгэбзэ зэрэсщыгъуэщ.</t>
        </is>
      </c>
      <c r="F16" s="3">
        <v>4</v>
      </c>
      <c r="G16" s="4" t="s">
        <v>578</v>
      </c>
      <c r="H16" s="4"/>
      <c r="I16" s="4"/>
      <c r="J16" s="4"/>
      <c r="K16" s="4">
        <v>2</v>
      </c>
      <c r="L16" s="3">
        <f t="shared" si="0"/>
        <v>2</v>
      </c>
      <c r="M16" s="4"/>
      <c r="N16" s="4">
        <v>2</v>
      </c>
      <c r="O16" s="4"/>
      <c r="P16" s="4"/>
      <c r="Q16" s="4"/>
      <c r="R16" s="4"/>
      <c r="S16" s="3">
        <f t="shared" si="1"/>
        <v>2</v>
      </c>
      <c r="T16" s="5" t="inlineStr">
        <is>
          <t>Yazı sistemi karışıklığı.</t>
        </is>
      </c>
    </row>
    <row r="17" spans="1:20" x14ac:dyDescent="0.25">
      <c r="A17" s="3" t="s">
        <v>215</v>
      </c>
      <c r="B17" s="3" t="s">
        <v>205</v>
      </c>
      <c r="C17" s="3">
        <v>4</v>
      </c>
      <c r="D17" s="3">
        <v>3</v>
      </c>
      <c r="E17" s="2" t="s">
        <v>320</v>
      </c>
      <c r="F17" s="3">
        <v>2</v>
      </c>
      <c r="G17" s="4" t="s">
        <v>577</v>
      </c>
      <c r="H17" s="4"/>
      <c r="I17" s="4"/>
      <c r="J17" s="4"/>
      <c r="K17" s="4"/>
      <c r="L17" s="3">
        <f t="shared" si="0"/>
        <v>2</v>
      </c>
      <c r="M17" s="4"/>
      <c r="N17" s="4"/>
      <c r="O17" s="4"/>
      <c r="P17" s="4"/>
      <c r="Q17" s="4"/>
      <c r="R17" s="4"/>
      <c r="S17" s="3">
        <f t="shared" si="1"/>
        <v>0</v>
      </c>
      <c r="T17" s="5"/>
    </row>
    <row r="18" spans="1:20" x14ac:dyDescent="0.25">
      <c r="A18" s="3" t="s">
        <v>215</v>
      </c>
      <c r="B18" s="3" t="s">
        <v>205</v>
      </c>
      <c r="C18" s="3">
        <v>4</v>
      </c>
      <c r="D18" s="3">
        <v>4</v>
      </c>
      <c r="E18" s="2" t="s">
        <v>321</v>
      </c>
      <c r="F18" s="3">
        <v>3</v>
      </c>
      <c r="G18" s="4"/>
      <c r="H18" s="4"/>
      <c r="I18" s="4"/>
      <c r="J18" s="4"/>
      <c r="K18" s="4"/>
      <c r="L18" s="3">
        <f t="shared" si="0"/>
        <v>3</v>
      </c>
      <c r="M18" s="4"/>
      <c r="N18" s="4"/>
      <c r="O18" s="4"/>
      <c r="P18" s="4"/>
      <c r="Q18" s="4"/>
      <c r="R18" s="4"/>
      <c r="S18" s="3">
        <f t="shared" si="1"/>
        <v>0</v>
      </c>
      <c r="T18" s="5"/>
    </row>
    <row r="19" spans="1:20" ht="28.5" x14ac:dyDescent="0.25">
      <c r="A19" s="3" t="s">
        <v>215</v>
      </c>
      <c r="B19" s="3" t="s">
        <v>205</v>
      </c>
      <c r="C19" s="3">
        <v>4</v>
      </c>
      <c r="D19" s="3">
        <v>5</v>
      </c>
      <c r="E19" s="2" t="s">
        <v>322</v>
      </c>
      <c r="F19" s="3">
        <v>8</v>
      </c>
      <c r="G19" s="4"/>
      <c r="H19" s="4"/>
      <c r="I19" s="4"/>
      <c r="J19" s="4"/>
      <c r="K19" s="4"/>
      <c r="L19" s="3">
        <f t="shared" si="0"/>
        <v>8</v>
      </c>
      <c r="M19" s="4"/>
      <c r="N19" s="4"/>
      <c r="O19" s="4"/>
      <c r="P19" s="4"/>
      <c r="Q19" s="4"/>
      <c r="R19" s="4"/>
      <c r="S19" s="3">
        <f t="shared" si="1"/>
        <v>0</v>
      </c>
      <c r="T19" s="5"/>
    </row>
    <row r="20" spans="1:20" x14ac:dyDescent="0.25">
      <c r="A20" s="3" t="s">
        <v>215</v>
      </c>
      <c r="B20" s="3" t="s">
        <v>205</v>
      </c>
      <c r="C20" s="3">
        <v>4</v>
      </c>
      <c r="D20" s="3">
        <v>6</v>
      </c>
      <c r="E20" s="2" t="s">
        <v>323</v>
      </c>
      <c r="F20" s="3">
        <v>2</v>
      </c>
      <c r="G20" s="4"/>
      <c r="H20" s="4"/>
      <c r="I20" s="4"/>
      <c r="J20" s="4"/>
      <c r="K20" s="4"/>
      <c r="L20" s="3">
        <f t="shared" si="0"/>
        <v>2</v>
      </c>
      <c r="M20" s="4"/>
      <c r="N20" s="4"/>
      <c r="O20" s="4"/>
      <c r="P20" s="4"/>
      <c r="Q20" s="4"/>
      <c r="R20" s="4"/>
      <c r="S20" s="3">
        <f t="shared" si="1"/>
        <v>0</v>
      </c>
      <c r="T20" s="5"/>
    </row>
    <row r="21" spans="1:20" x14ac:dyDescent="0.25">
      <c r="A21" s="3" t="s">
        <v>215</v>
      </c>
      <c r="B21" s="3" t="s">
        <v>205</v>
      </c>
      <c r="C21" s="3">
        <v>4</v>
      </c>
      <c r="D21" s="3">
        <v>7</v>
      </c>
      <c r="E21" s="2" t="s">
        <v>324</v>
      </c>
      <c r="F21" s="3">
        <v>3</v>
      </c>
      <c r="G21" s="4"/>
      <c r="H21" s="4"/>
      <c r="I21" s="4"/>
      <c r="J21" s="4"/>
      <c r="K21" s="4"/>
      <c r="L21" s="3">
        <f t="shared" si="0"/>
        <v>3</v>
      </c>
      <c r="M21" s="4"/>
      <c r="N21" s="4"/>
      <c r="O21" s="4"/>
      <c r="P21" s="4"/>
      <c r="Q21" s="4"/>
      <c r="R21" s="4"/>
      <c r="S21" s="3">
        <f t="shared" si="1"/>
        <v>0</v>
      </c>
      <c r="T21" s="5"/>
    </row>
    <row r="22" spans="1:20" x14ac:dyDescent="0.25">
      <c r="A22" s="3" t="s">
        <v>215</v>
      </c>
      <c r="B22" s="3" t="s">
        <v>205</v>
      </c>
      <c r="C22" s="3">
        <v>4</v>
      </c>
      <c r="D22" s="3">
        <v>8</v>
      </c>
      <c r="E22" s="2" t="s">
        <v>325</v>
      </c>
      <c r="F22" s="3">
        <v>2</v>
      </c>
      <c r="G22" s="4"/>
      <c r="H22" s="4"/>
      <c r="I22" s="4"/>
      <c r="J22" s="4"/>
      <c r="K22" s="4"/>
      <c r="L22" s="3">
        <f t="shared" si="0"/>
        <v>2</v>
      </c>
      <c r="M22" s="4"/>
      <c r="N22" s="4"/>
      <c r="O22" s="4"/>
      <c r="P22" s="4"/>
      <c r="Q22" s="4"/>
      <c r="R22" s="4"/>
      <c r="S22" s="3">
        <f t="shared" si="1"/>
        <v>0</v>
      </c>
      <c r="T22" s="5"/>
    </row>
    <row r="23" spans="1:20" ht="28.5" x14ac:dyDescent="0.25">
      <c r="A23" s="3" t="s">
        <v>215</v>
      </c>
      <c r="B23" s="3" t="s">
        <v>205</v>
      </c>
      <c r="C23" s="3">
        <v>4</v>
      </c>
      <c r="D23" s="3">
        <v>9</v>
      </c>
      <c r="E23" s="2" t="s">
        <v>326</v>
      </c>
      <c r="F23" s="3">
        <v>14</v>
      </c>
      <c r="G23" s="4"/>
      <c r="H23" s="4"/>
      <c r="I23" s="4"/>
      <c r="J23" s="4"/>
      <c r="K23" s="4"/>
      <c r="L23" s="3">
        <f t="shared" si="0"/>
        <v>14</v>
      </c>
      <c r="M23" s="4"/>
      <c r="N23" s="4"/>
      <c r="O23" s="4"/>
      <c r="P23" s="4"/>
      <c r="Q23" s="4"/>
      <c r="R23" s="4"/>
      <c r="S23" s="3">
        <f t="shared" si="1"/>
        <v>0</v>
      </c>
      <c r="T23" s="5"/>
    </row>
    <row r="24" spans="1:20" x14ac:dyDescent="0.25">
      <c r="A24" s="3" t="s">
        <v>215</v>
      </c>
      <c r="B24" s="3" t="s">
        <v>205</v>
      </c>
      <c r="C24" s="3">
        <v>4</v>
      </c>
      <c r="D24" s="3">
        <v>10</v>
      </c>
      <c r="E24" s="2" t="s">
        <v>327</v>
      </c>
      <c r="F24" s="3">
        <v>5</v>
      </c>
      <c r="G24" s="4"/>
      <c r="H24" s="4"/>
      <c r="I24" s="4"/>
      <c r="J24" s="4"/>
      <c r="K24" s="4"/>
      <c r="L24" s="3">
        <f t="shared" si="0"/>
        <v>5</v>
      </c>
      <c r="M24" s="4"/>
      <c r="N24" s="4"/>
      <c r="O24" s="4"/>
      <c r="P24" s="4"/>
      <c r="Q24" s="4"/>
      <c r="R24" s="4"/>
      <c r="S24" s="3">
        <f t="shared" si="1"/>
        <v>0</v>
      </c>
      <c r="T24" s="5"/>
    </row>
    <row r="25" spans="1:20" x14ac:dyDescent="0.25">
      <c r="A25" s="3" t="s">
        <v>215</v>
      </c>
      <c r="B25" s="3" t="s">
        <v>205</v>
      </c>
      <c r="C25" s="3">
        <v>4</v>
      </c>
      <c r="D25" s="3">
        <v>11</v>
      </c>
      <c r="E25" s="2" t="s">
        <v>328</v>
      </c>
      <c r="F25" s="3">
        <v>3</v>
      </c>
      <c r="G25" s="4"/>
      <c r="H25" s="4"/>
      <c r="I25" s="4"/>
      <c r="J25" s="4"/>
      <c r="K25" s="4"/>
      <c r="L25" s="3">
        <f t="shared" si="0"/>
        <v>3</v>
      </c>
      <c r="M25" s="4"/>
      <c r="N25" s="4"/>
      <c r="O25" s="4"/>
      <c r="P25" s="4"/>
      <c r="Q25" s="4"/>
      <c r="R25" s="4"/>
      <c r="S25" s="3">
        <f t="shared" si="1"/>
        <v>0</v>
      </c>
      <c r="T25" s="5"/>
    </row>
    <row r="26" spans="1:20" x14ac:dyDescent="0.25">
      <c r="A26" s="3" t="s">
        <v>215</v>
      </c>
      <c r="B26" s="3" t="s">
        <v>205</v>
      </c>
      <c r="C26" s="3">
        <v>4</v>
      </c>
      <c r="D26" s="3">
        <v>12</v>
      </c>
      <c r="E26" s="2" t="s">
        <v>329</v>
      </c>
      <c r="F26" s="3">
        <v>9</v>
      </c>
      <c r="G26" s="4"/>
      <c r="H26" s="4"/>
      <c r="I26" s="4"/>
      <c r="J26" s="4"/>
      <c r="K26" s="4"/>
      <c r="L26" s="3">
        <f t="shared" si="0"/>
        <v>9</v>
      </c>
      <c r="M26" s="4"/>
      <c r="N26" s="4"/>
      <c r="O26" s="4"/>
      <c r="P26" s="4"/>
      <c r="Q26" s="4"/>
      <c r="R26" s="4"/>
      <c r="S26" s="3">
        <f t="shared" si="1"/>
        <v>0</v>
      </c>
      <c r="T26" s="5"/>
    </row>
    <row r="27" spans="1:20" x14ac:dyDescent="0.25">
      <c r="A27" s="3" t="s">
        <v>215</v>
      </c>
      <c r="B27" s="3" t="s">
        <v>205</v>
      </c>
      <c r="C27" s="3">
        <v>4</v>
      </c>
      <c r="D27" s="3">
        <v>13</v>
      </c>
      <c r="E27" s="2" t="s">
        <v>330</v>
      </c>
      <c r="F27" s="3">
        <v>2</v>
      </c>
      <c r="G27" s="4"/>
      <c r="H27" s="4"/>
      <c r="I27" s="4"/>
      <c r="J27" s="4"/>
      <c r="K27" s="4"/>
      <c r="L27" s="3">
        <f t="shared" si="0"/>
        <v>2</v>
      </c>
      <c r="M27" s="4"/>
      <c r="N27" s="4"/>
      <c r="O27" s="4"/>
      <c r="P27" s="4"/>
      <c r="Q27" s="4"/>
      <c r="R27" s="4"/>
      <c r="S27" s="3">
        <f t="shared" si="1"/>
        <v>0</v>
      </c>
      <c r="T27" s="5"/>
    </row>
    <row r="28" spans="1:20" x14ac:dyDescent="0.25">
      <c r="A28" s="3" t="s">
        <v>215</v>
      </c>
      <c r="B28" s="3" t="s">
        <v>205</v>
      </c>
      <c r="C28" s="3">
        <v>4</v>
      </c>
      <c r="D28" s="3">
        <v>14</v>
      </c>
      <c r="E28" s="2" t="s">
        <v>331</v>
      </c>
      <c r="F28" s="3">
        <v>5</v>
      </c>
      <c r="G28" s="4"/>
      <c r="H28" s="4"/>
      <c r="I28" s="4"/>
      <c r="J28" s="4"/>
      <c r="K28" s="4"/>
      <c r="L28" s="3">
        <f t="shared" si="0"/>
        <v>5</v>
      </c>
      <c r="M28" s="4"/>
      <c r="N28" s="4"/>
      <c r="O28" s="4"/>
      <c r="P28" s="4"/>
      <c r="Q28" s="4"/>
      <c r="R28" s="4"/>
      <c r="S28" s="3">
        <f t="shared" si="1"/>
        <v>0</v>
      </c>
      <c r="T28" s="5"/>
    </row>
    <row r="29" spans="1:20" x14ac:dyDescent="0.25">
      <c r="A29" s="3" t="s">
        <v>215</v>
      </c>
      <c r="B29" s="3" t="s">
        <v>205</v>
      </c>
      <c r="C29" s="3">
        <v>4</v>
      </c>
      <c r="D29" s="3">
        <v>15</v>
      </c>
      <c r="E29" s="2" t="inlineStr">
        <is>
          <t xml:space="preserve">СышІу, опсэу.</t>
        </is>
      </c>
      <c r="F29" s="3">
        <v>2</v>
      </c>
      <c r="G29" s="4"/>
      <c r="H29" s="4"/>
      <c r="I29" s="4"/>
      <c r="J29" s="4"/>
      <c r="K29" s="4"/>
      <c r="L29" s="3">
        <f t="shared" si="0"/>
        <v>2</v>
      </c>
      <c r="M29" s="4"/>
      <c r="N29" s="4"/>
      <c r="O29" s="4"/>
      <c r="P29" s="4"/>
      <c r="Q29" s="4"/>
      <c r="R29" s="4"/>
      <c r="S29" s="3">
        <f t="shared" si="1"/>
        <v>0</v>
      </c>
      <c r="T29" s="5"/>
    </row>
    <row r="30" spans="1:20" x14ac:dyDescent="0.25">
      <c r="A30" s="3" t="s">
        <v>215</v>
      </c>
      <c r="B30" s="3" t="s">
        <v>205</v>
      </c>
      <c r="C30" s="3">
        <v>4</v>
      </c>
      <c r="D30" s="3">
        <v>16</v>
      </c>
      <c r="E30" s="2" t="s">
        <v>333</v>
      </c>
      <c r="F30" s="3">
        <v>3</v>
      </c>
      <c r="G30" s="4"/>
      <c r="H30" s="4"/>
      <c r="I30" s="4"/>
      <c r="J30" s="4"/>
      <c r="K30" s="4"/>
      <c r="L30" s="3">
        <f t="shared" si="0"/>
        <v>3</v>
      </c>
      <c r="M30" s="4"/>
      <c r="N30" s="4"/>
      <c r="O30" s="4"/>
      <c r="P30" s="4"/>
      <c r="Q30" s="4"/>
      <c r="R30" s="4"/>
      <c r="S30" s="3">
        <f t="shared" si="1"/>
        <v>0</v>
      </c>
      <c r="T30" s="5"/>
    </row>
    <row r="31" spans="1:20" x14ac:dyDescent="0.25">
      <c r="A31" s="3" t="s">
        <v>215</v>
      </c>
      <c r="B31" s="3" t="s">
        <v>205</v>
      </c>
      <c r="C31" s="3">
        <v>4</v>
      </c>
      <c r="D31" s="3">
        <v>17</v>
      </c>
      <c r="E31" s="2" t="s">
        <v>334</v>
      </c>
      <c r="F31" s="3">
        <v>2</v>
      </c>
      <c r="G31" s="4"/>
      <c r="H31" s="4"/>
      <c r="I31" s="4"/>
      <c r="J31" s="4"/>
      <c r="K31" s="4"/>
      <c r="L31" s="3">
        <f t="shared" si="0"/>
        <v>2</v>
      </c>
      <c r="M31" s="4"/>
      <c r="N31" s="4"/>
      <c r="O31" s="4"/>
      <c r="P31" s="4"/>
      <c r="Q31" s="4"/>
      <c r="R31" s="4"/>
      <c r="S31" s="3">
        <f t="shared" si="1"/>
        <v>0</v>
      </c>
      <c r="T31" s="5"/>
    </row>
    <row r="32" spans="1:20" x14ac:dyDescent="0.25">
      <c r="A32" s="3" t="s">
        <v>215</v>
      </c>
      <c r="B32" s="3" t="s">
        <v>205</v>
      </c>
      <c r="C32" s="3">
        <v>4</v>
      </c>
      <c r="D32" s="3">
        <v>18</v>
      </c>
      <c r="E32" s="2" t="s">
        <v>335</v>
      </c>
      <c r="F32" s="3">
        <v>3</v>
      </c>
      <c r="G32" s="4"/>
      <c r="H32" s="4"/>
      <c r="I32" s="4"/>
      <c r="J32" s="4"/>
      <c r="K32" s="4"/>
      <c r="L32" s="3">
        <f t="shared" si="0"/>
        <v>3</v>
      </c>
      <c r="M32" s="4"/>
      <c r="N32" s="4"/>
      <c r="O32" s="4"/>
      <c r="P32" s="4"/>
      <c r="Q32" s="4"/>
      <c r="R32" s="4"/>
      <c r="S32" s="3">
        <f t="shared" si="1"/>
        <v>0</v>
      </c>
      <c r="T32" s="5"/>
    </row>
    <row r="33" spans="1:20" x14ac:dyDescent="0.25">
      <c r="A33" s="3" t="s">
        <v>215</v>
      </c>
      <c r="B33" s="3" t="s">
        <v>205</v>
      </c>
      <c r="C33" s="3">
        <v>4</v>
      </c>
      <c r="D33" s="3">
        <v>19</v>
      </c>
      <c r="E33" s="2" t="s">
        <v>336</v>
      </c>
      <c r="F33" s="3">
        <v>2</v>
      </c>
      <c r="G33" s="4"/>
      <c r="H33" s="4"/>
      <c r="I33" s="4"/>
      <c r="J33" s="4"/>
      <c r="K33" s="4"/>
      <c r="L33" s="3">
        <f t="shared" si="0"/>
        <v>2</v>
      </c>
      <c r="M33" s="4"/>
      <c r="N33" s="4"/>
      <c r="O33" s="4"/>
      <c r="P33" s="4"/>
      <c r="Q33" s="4"/>
      <c r="R33" s="4"/>
      <c r="S33" s="3">
        <f t="shared" si="1"/>
        <v>0</v>
      </c>
      <c r="T33" s="5"/>
    </row>
    <row r="34" spans="1:20" x14ac:dyDescent="0.25">
      <c r="A34" s="3" t="s">
        <v>215</v>
      </c>
      <c r="B34" s="3" t="s">
        <v>205</v>
      </c>
      <c r="C34" s="3">
        <v>4</v>
      </c>
      <c r="D34" s="3">
        <v>20</v>
      </c>
      <c r="E34" s="2" t="s">
        <v>337</v>
      </c>
      <c r="F34" s="3">
        <v>2</v>
      </c>
      <c r="G34" s="4"/>
      <c r="H34" s="4"/>
      <c r="I34" s="4"/>
      <c r="J34" s="4"/>
      <c r="K34" s="4"/>
      <c r="L34" s="3">
        <f t="shared" si="0"/>
        <v>2</v>
      </c>
      <c r="M34" s="4"/>
      <c r="N34" s="4"/>
      <c r="O34" s="4"/>
      <c r="P34" s="4"/>
      <c r="Q34" s="4"/>
      <c r="R34" s="4"/>
      <c r="S34" s="3">
        <f t="shared" si="1"/>
        <v>0</v>
      </c>
      <c r="T34" s="5"/>
    </row>
    <row r="35" spans="1:20" x14ac:dyDescent="0.25">
      <c r="A35" s="3" t="s">
        <v>215</v>
      </c>
      <c r="B35" s="3" t="s">
        <v>205</v>
      </c>
      <c r="C35" s="3">
        <v>4</v>
      </c>
      <c r="D35" s="3">
        <v>21</v>
      </c>
      <c r="E35" s="2" t="s">
        <v>338</v>
      </c>
      <c r="F35" s="3">
        <v>3</v>
      </c>
      <c r="G35" s="4"/>
      <c r="H35" s="4"/>
      <c r="I35" s="4"/>
      <c r="J35" s="4"/>
      <c r="K35" s="4"/>
      <c r="L35" s="3">
        <f t="shared" si="0"/>
        <v>3</v>
      </c>
      <c r="M35" s="4"/>
      <c r="N35" s="4"/>
      <c r="O35" s="4"/>
      <c r="P35" s="4"/>
      <c r="Q35" s="4"/>
      <c r="R35" s="4"/>
      <c r="S35" s="3">
        <f t="shared" si="1"/>
        <v>0</v>
      </c>
      <c r="T35" s="5"/>
    </row>
    <row r="36" spans="1:20" x14ac:dyDescent="0.25">
      <c r="A36" s="3" t="s">
        <v>215</v>
      </c>
      <c r="B36" s="3" t="s">
        <v>205</v>
      </c>
      <c r="C36" s="3">
        <v>4</v>
      </c>
      <c r="D36" s="3">
        <v>22</v>
      </c>
      <c r="E36" s="2" t="s">
        <v>339</v>
      </c>
      <c r="F36" s="3">
        <v>3</v>
      </c>
      <c r="G36" s="4"/>
      <c r="H36" s="4"/>
      <c r="I36" s="4"/>
      <c r="J36" s="4"/>
      <c r="K36" s="4"/>
      <c r="L36" s="3">
        <f t="shared" si="0"/>
        <v>3</v>
      </c>
      <c r="M36" s="4"/>
      <c r="N36" s="4"/>
      <c r="O36" s="4"/>
      <c r="P36" s="4"/>
      <c r="Q36" s="4"/>
      <c r="R36" s="4"/>
      <c r="S36" s="3">
        <f t="shared" si="1"/>
        <v>0</v>
      </c>
      <c r="T36" s="5"/>
    </row>
    <row r="37" spans="1:20" x14ac:dyDescent="0.25">
      <c r="A37" s="3" t="s">
        <v>215</v>
      </c>
      <c r="B37" s="3" t="s">
        <v>205</v>
      </c>
      <c r="C37" s="3">
        <v>4</v>
      </c>
      <c r="D37" s="3">
        <v>23</v>
      </c>
      <c r="E37" s="2" t="s">
        <v>340</v>
      </c>
      <c r="F37" s="3">
        <v>3</v>
      </c>
      <c r="G37" s="4"/>
      <c r="H37" s="4"/>
      <c r="I37" s="4"/>
      <c r="J37" s="4"/>
      <c r="K37" s="4"/>
      <c r="L37" s="3">
        <f t="shared" si="0"/>
        <v>3</v>
      </c>
      <c r="M37" s="4"/>
      <c r="N37" s="4"/>
      <c r="O37" s="4"/>
      <c r="P37" s="4"/>
      <c r="Q37" s="4"/>
      <c r="R37" s="4"/>
      <c r="S37" s="3">
        <f t="shared" si="1"/>
        <v>0</v>
      </c>
      <c r="T37" s="5"/>
    </row>
    <row r="38" spans="1:20" x14ac:dyDescent="0.25">
      <c r="A38" s="3" t="s">
        <v>215</v>
      </c>
      <c r="B38" s="3" t="s">
        <v>205</v>
      </c>
      <c r="C38" s="3">
        <v>4</v>
      </c>
      <c r="D38" s="3">
        <v>24</v>
      </c>
      <c r="E38" s="2" t="s">
        <v>341</v>
      </c>
      <c r="F38" s="3">
        <v>2</v>
      </c>
      <c r="G38" s="4"/>
      <c r="H38" s="4"/>
      <c r="I38" s="4"/>
      <c r="J38" s="4"/>
      <c r="K38" s="4"/>
      <c r="L38" s="3">
        <f t="shared" si="0"/>
        <v>2</v>
      </c>
      <c r="M38" s="4"/>
      <c r="N38" s="4"/>
      <c r="O38" s="4"/>
      <c r="P38" s="4"/>
      <c r="Q38" s="4"/>
      <c r="R38" s="4"/>
      <c r="S38" s="3">
        <f t="shared" si="1"/>
        <v>0</v>
      </c>
      <c r="T38" s="5"/>
    </row>
    <row r="39" spans="1:20" x14ac:dyDescent="0.25">
      <c r="A39" s="3" t="s">
        <v>215</v>
      </c>
      <c r="B39" s="3" t="s">
        <v>205</v>
      </c>
      <c r="C39" s="3">
        <v>4</v>
      </c>
      <c r="D39" s="3">
        <v>25</v>
      </c>
      <c r="E39" s="2" t="s">
        <v>342</v>
      </c>
      <c r="F39" s="3">
        <v>3</v>
      </c>
      <c r="G39" s="4"/>
      <c r="H39" s="4"/>
      <c r="I39" s="4"/>
      <c r="J39" s="4"/>
      <c r="K39" s="4"/>
      <c r="L39" s="3">
        <f t="shared" si="0"/>
        <v>3</v>
      </c>
      <c r="M39" s="4"/>
      <c r="N39" s="4"/>
      <c r="O39" s="4"/>
      <c r="P39" s="4"/>
      <c r="Q39" s="4"/>
      <c r="R39" s="4"/>
      <c r="S39" s="3">
        <f t="shared" si="1"/>
        <v>0</v>
      </c>
      <c r="T39" s="5"/>
    </row>
    <row r="40" spans="1:20" ht="28.5" x14ac:dyDescent="0.25">
      <c r="A40" s="3" t="s">
        <v>215</v>
      </c>
      <c r="B40" s="3" t="s">
        <v>205</v>
      </c>
      <c r="C40" s="3">
        <v>4</v>
      </c>
      <c r="D40" s="3">
        <v>26</v>
      </c>
      <c r="E40" s="2" t="s">
        <v>343</v>
      </c>
      <c r="F40" s="3">
        <v>12</v>
      </c>
      <c r="G40" s="4"/>
      <c r="H40" s="4"/>
      <c r="I40" s="4"/>
      <c r="J40" s="4"/>
      <c r="K40" s="4"/>
      <c r="L40" s="3">
        <f t="shared" si="0"/>
        <v>12</v>
      </c>
      <c r="M40" s="4"/>
      <c r="N40" s="4"/>
      <c r="O40" s="4"/>
      <c r="P40" s="4"/>
      <c r="Q40" s="4"/>
      <c r="R40" s="4"/>
      <c r="S40" s="3">
        <f t="shared" si="1"/>
        <v>0</v>
      </c>
      <c r="T40" s="5"/>
    </row>
    <row r="41" spans="1:20" x14ac:dyDescent="0.25">
      <c r="A41" s="3" t="s">
        <v>218</v>
      </c>
      <c r="B41" s="3" t="s">
        <v>205</v>
      </c>
      <c r="C41" s="3">
        <v>5</v>
      </c>
      <c r="D41" s="3">
        <v>1</v>
      </c>
      <c r="E41" s="2" t="s">
        <v>308</v>
      </c>
      <c r="F41" s="3">
        <v>2</v>
      </c>
      <c r="G41" s="4" t="s">
        <v>577</v>
      </c>
      <c r="H41" s="4"/>
      <c r="I41" s="4"/>
      <c r="J41" s="4"/>
      <c r="K41" s="4"/>
      <c r="L41" s="3">
        <f t="shared" si="0"/>
        <v>2</v>
      </c>
      <c r="M41" s="4"/>
      <c r="N41" s="4"/>
      <c r="O41" s="4"/>
      <c r="P41" s="4"/>
      <c r="Q41" s="4"/>
      <c r="R41" s="4"/>
      <c r="S41" s="3">
        <f t="shared" si="1"/>
        <v>0</v>
      </c>
      <c r="T41" s="5"/>
    </row>
    <row r="42" spans="1:20" ht="28.5" x14ac:dyDescent="0.25">
      <c r="A42" s="3" t="s">
        <v>218</v>
      </c>
      <c r="B42" s="3" t="s">
        <v>205</v>
      </c>
      <c r="C42" s="3">
        <v>5</v>
      </c>
      <c r="D42" s="3">
        <v>2</v>
      </c>
      <c r="E42" s="2" t="s">
        <v>344</v>
      </c>
      <c r="F42" s="3">
        <v>5</v>
      </c>
      <c r="G42" s="4" t="s">
        <v>578</v>
      </c>
      <c r="H42" s="4"/>
      <c r="I42" s="4">
        <v>1</v>
      </c>
      <c r="J42" s="4">
        <v>1</v>
      </c>
      <c r="K42" s="4"/>
      <c r="L42" s="3">
        <f t="shared" si="0"/>
        <v>3</v>
      </c>
      <c r="M42" s="4"/>
      <c r="N42" s="4"/>
      <c r="O42" s="4"/>
      <c r="P42" s="4"/>
      <c r="Q42" s="4"/>
      <c r="R42" s="4"/>
      <c r="S42" s="3">
        <f t="shared" si="1"/>
        <v>0</v>
      </c>
      <c r="T42" s="5"/>
    </row>
    <row r="43" spans="1:20" x14ac:dyDescent="0.25">
      <c r="A43" s="3" t="s">
        <v>218</v>
      </c>
      <c r="B43" s="3" t="s">
        <v>205</v>
      </c>
      <c r="C43" s="3">
        <v>5</v>
      </c>
      <c r="D43" s="3">
        <v>3</v>
      </c>
      <c r="E43" s="2" t="s">
        <v>345</v>
      </c>
      <c r="F43" s="3">
        <v>2</v>
      </c>
      <c r="G43" s="4" t="s">
        <v>577</v>
      </c>
      <c r="H43" s="4"/>
      <c r="I43" s="4"/>
      <c r="J43" s="4"/>
      <c r="K43" s="4"/>
      <c r="L43" s="3">
        <f t="shared" si="0"/>
        <v>2</v>
      </c>
      <c r="M43" s="4"/>
      <c r="N43" s="4"/>
      <c r="O43" s="4"/>
      <c r="P43" s="4"/>
      <c r="Q43" s="4"/>
      <c r="R43" s="4"/>
      <c r="S43" s="3">
        <f t="shared" si="1"/>
        <v>0</v>
      </c>
      <c r="T43" s="5"/>
    </row>
    <row r="44" spans="1:20" x14ac:dyDescent="0.25">
      <c r="A44" s="3" t="s">
        <v>218</v>
      </c>
      <c r="B44" s="3" t="s">
        <v>205</v>
      </c>
      <c r="C44" s="3">
        <v>5</v>
      </c>
      <c r="D44" s="3">
        <v>4</v>
      </c>
      <c r="E44" s="2" t="s">
        <v>346</v>
      </c>
      <c r="F44" s="3">
        <v>2</v>
      </c>
      <c r="G44" s="4" t="s">
        <v>577</v>
      </c>
      <c r="H44" s="4"/>
      <c r="I44" s="4"/>
      <c r="J44" s="4"/>
      <c r="K44" s="4"/>
      <c r="L44" s="3">
        <f t="shared" si="0"/>
        <v>2</v>
      </c>
      <c r="M44" s="4"/>
      <c r="N44" s="4"/>
      <c r="O44" s="4"/>
      <c r="P44" s="4"/>
      <c r="Q44" s="4"/>
      <c r="R44" s="4"/>
      <c r="S44" s="3">
        <f t="shared" si="1"/>
        <v>0</v>
      </c>
      <c r="T44" s="5"/>
    </row>
    <row r="45" spans="1:20" ht="28.5" x14ac:dyDescent="0.25">
      <c r="A45" s="3" t="s">
        <v>218</v>
      </c>
      <c r="B45" s="3" t="s">
        <v>205</v>
      </c>
      <c r="C45" s="3">
        <v>5</v>
      </c>
      <c r="D45" s="3">
        <v>5</v>
      </c>
      <c r="E45" s="2" t="s">
        <v>347</v>
      </c>
      <c r="F45" s="3">
        <v>6</v>
      </c>
      <c r="G45" s="4" t="s">
        <v>578</v>
      </c>
      <c r="H45" s="4">
        <v>2</v>
      </c>
      <c r="I45" s="4"/>
      <c r="J45" s="4"/>
      <c r="K45" s="4"/>
      <c r="L45" s="3">
        <f t="shared" si="0"/>
        <v>4</v>
      </c>
      <c r="M45" s="4"/>
      <c r="N45" s="4"/>
      <c r="O45" s="4"/>
      <c r="P45" s="4"/>
      <c r="Q45" s="4"/>
      <c r="R45" s="4"/>
      <c r="S45" s="3">
        <f t="shared" si="1"/>
        <v>0</v>
      </c>
      <c r="T45" s="5"/>
    </row>
    <row r="46" spans="1:20" ht="28.5" x14ac:dyDescent="0.25">
      <c r="A46" s="3" t="s">
        <v>218</v>
      </c>
      <c r="B46" s="3" t="s">
        <v>205</v>
      </c>
      <c r="C46" s="3">
        <v>5</v>
      </c>
      <c r="D46" s="3">
        <v>6</v>
      </c>
      <c r="E46" s="2" t="s">
        <v>348</v>
      </c>
      <c r="F46" s="3">
        <v>5</v>
      </c>
      <c r="G46" s="4" t="s">
        <v>578</v>
      </c>
      <c r="H46" s="4">
        <v>2</v>
      </c>
      <c r="I46" s="4">
        <v>1</v>
      </c>
      <c r="J46" s="4"/>
      <c r="K46" s="4"/>
      <c r="L46" s="3">
        <f t="shared" si="0"/>
        <v>2</v>
      </c>
      <c r="M46" s="4"/>
      <c r="N46" s="4"/>
      <c r="O46" s="4"/>
      <c r="P46" s="4"/>
      <c r="Q46" s="4"/>
      <c r="R46" s="4"/>
      <c r="S46" s="3">
        <f t="shared" si="1"/>
        <v>0</v>
      </c>
      <c r="T46" s="5"/>
    </row>
    <row r="47" spans="1:20" ht="28.5" x14ac:dyDescent="0.25">
      <c r="A47" s="3" t="s">
        <v>221</v>
      </c>
      <c r="B47" s="3" t="s">
        <v>222</v>
      </c>
      <c r="C47" s="3">
        <v>1</v>
      </c>
      <c r="D47" s="3">
        <v>1</v>
      </c>
      <c r="E47" s="2" t="s">
        <v>349</v>
      </c>
      <c r="F47" s="3">
        <v>13</v>
      </c>
      <c r="G47" s="4" t="s">
        <v>578</v>
      </c>
      <c r="H47" s="4">
        <v>3</v>
      </c>
      <c r="I47" s="4">
        <v>2</v>
      </c>
      <c r="J47" s="4"/>
      <c r="K47" s="4"/>
      <c r="L47" s="3">
        <f t="shared" si="0"/>
        <v>8</v>
      </c>
      <c r="M47" s="4"/>
      <c r="N47" s="4"/>
      <c r="O47" s="4"/>
      <c r="P47" s="4"/>
      <c r="Q47" s="4"/>
      <c r="R47" s="4"/>
      <c r="S47" s="3">
        <f t="shared" si="1"/>
        <v>0</v>
      </c>
      <c r="T47" s="5"/>
    </row>
    <row r="48" spans="1:20" ht="28.5" x14ac:dyDescent="0.25">
      <c r="A48" s="3" t="s">
        <v>221</v>
      </c>
      <c r="B48" s="3" t="s">
        <v>222</v>
      </c>
      <c r="C48" s="3">
        <v>1</v>
      </c>
      <c r="D48" s="3">
        <v>2</v>
      </c>
      <c r="E48" s="2" t="s">
        <v>350</v>
      </c>
      <c r="F48" s="3">
        <v>11</v>
      </c>
      <c r="G48" s="4" t="s">
        <v>578</v>
      </c>
      <c r="H48" s="4">
        <v>2</v>
      </c>
      <c r="I48" s="4">
        <v>1</v>
      </c>
      <c r="J48" s="4"/>
      <c r="K48" s="4">
        <v>1</v>
      </c>
      <c r="L48" s="3">
        <f t="shared" si="0"/>
        <v>7</v>
      </c>
      <c r="M48" s="4"/>
      <c r="N48" s="4">
        <v>1</v>
      </c>
      <c r="O48" s="4"/>
      <c r="P48" s="4"/>
      <c r="Q48" s="4"/>
      <c r="R48" s="4"/>
      <c r="S48" s="3">
        <f t="shared" si="1"/>
        <v>1</v>
      </c>
      <c r="T48" s="5"/>
    </row>
    <row r="49" spans="1:20" ht="28.5" x14ac:dyDescent="0.25">
      <c r="A49" s="3" t="s">
        <v>225</v>
      </c>
      <c r="B49" s="3" t="s">
        <v>222</v>
      </c>
      <c r="C49" s="3">
        <v>2</v>
      </c>
      <c r="D49" s="3">
        <v>1</v>
      </c>
      <c r="E49" s="2" t="s">
        <v>351</v>
      </c>
      <c r="F49" s="3">
        <v>12</v>
      </c>
      <c r="G49" s="4" t="s">
        <v>578</v>
      </c>
      <c r="H49" s="4">
        <v>4</v>
      </c>
      <c r="I49" s="4"/>
      <c r="J49" s="4">
        <v>1</v>
      </c>
      <c r="K49" s="4">
        <v>1</v>
      </c>
      <c r="L49" s="3">
        <f t="shared" si="0"/>
        <v>6</v>
      </c>
      <c r="M49" s="4"/>
      <c r="N49" s="4">
        <v>1</v>
      </c>
      <c r="O49" s="4"/>
      <c r="P49" s="4"/>
      <c r="Q49" s="4"/>
      <c r="R49" s="4"/>
      <c r="S49" s="3">
        <f t="shared" si="1"/>
        <v>1</v>
      </c>
      <c r="T49" s="5"/>
    </row>
    <row r="50" spans="1:20" ht="28.5" x14ac:dyDescent="0.25">
      <c r="A50" s="3" t="s">
        <v>225</v>
      </c>
      <c r="B50" s="3" t="s">
        <v>222</v>
      </c>
      <c r="C50" s="3">
        <v>2</v>
      </c>
      <c r="D50" s="3">
        <v>2</v>
      </c>
      <c r="E50" s="2" t="s">
        <v>352</v>
      </c>
      <c r="F50" s="3">
        <v>7</v>
      </c>
      <c r="G50" s="4" t="s">
        <v>578</v>
      </c>
      <c r="H50" s="4">
        <v>4</v>
      </c>
      <c r="I50" s="4"/>
      <c r="J50" s="4"/>
      <c r="K50" s="4"/>
      <c r="L50" s="3">
        <f t="shared" si="0"/>
        <v>3</v>
      </c>
      <c r="M50" s="4"/>
      <c r="N50" s="4"/>
      <c r="O50" s="4"/>
      <c r="P50" s="4"/>
      <c r="Q50" s="4"/>
      <c r="R50" s="4"/>
      <c r="S50" s="3">
        <f t="shared" si="1"/>
        <v>0</v>
      </c>
      <c r="T50" s="5"/>
    </row>
    <row r="51" spans="1:20" ht="28.5" x14ac:dyDescent="0.25">
      <c r="A51" s="3" t="s">
        <v>225</v>
      </c>
      <c r="B51" s="3" t="s">
        <v>222</v>
      </c>
      <c r="C51" s="3">
        <v>2</v>
      </c>
      <c r="D51" s="3">
        <v>3</v>
      </c>
      <c r="E51" s="2" t="s">
        <v>353</v>
      </c>
      <c r="F51" s="3">
        <v>11</v>
      </c>
      <c r="G51" s="4" t="s">
        <v>578</v>
      </c>
      <c r="H51" s="4">
        <v>1</v>
      </c>
      <c r="I51" s="4"/>
      <c r="J51" s="4"/>
      <c r="K51" s="4">
        <v>1</v>
      </c>
      <c r="L51" s="3">
        <f t="shared" si="0"/>
        <v>9</v>
      </c>
      <c r="M51" s="4"/>
      <c r="N51" s="4">
        <v>1</v>
      </c>
      <c r="O51" s="4"/>
      <c r="P51" s="4"/>
      <c r="Q51" s="4"/>
      <c r="R51" s="4"/>
      <c r="S51" s="3">
        <f t="shared" si="1"/>
        <v>1</v>
      </c>
      <c r="T51" s="5"/>
    </row>
    <row r="52" spans="1:20" ht="42.75" x14ac:dyDescent="0.25">
      <c r="A52" s="3" t="s">
        <v>225</v>
      </c>
      <c r="B52" s="3" t="s">
        <v>222</v>
      </c>
      <c r="C52" s="3">
        <v>2</v>
      </c>
      <c r="D52" s="3">
        <v>4</v>
      </c>
      <c r="E52" s="2" t="s">
        <v>354</v>
      </c>
      <c r="F52" s="3">
        <v>16</v>
      </c>
      <c r="G52" s="4" t="s">
        <v>578</v>
      </c>
      <c r="H52" s="4">
        <v>3</v>
      </c>
      <c r="I52" s="4">
        <v>3</v>
      </c>
      <c r="J52" s="4"/>
      <c r="K52" s="4">
        <v>1</v>
      </c>
      <c r="L52" s="3">
        <f t="shared" si="0"/>
        <v>9</v>
      </c>
      <c r="M52" s="4"/>
      <c r="N52" s="4">
        <v>1</v>
      </c>
      <c r="O52" s="4"/>
      <c r="P52" s="4"/>
      <c r="Q52" s="4"/>
      <c r="R52" s="4"/>
      <c r="S52" s="3">
        <f t="shared" si="1"/>
        <v>1</v>
      </c>
      <c r="T52" s="5"/>
    </row>
    <row r="53" spans="1:20" ht="28.5" x14ac:dyDescent="0.25">
      <c r="A53" s="3" t="s">
        <v>227</v>
      </c>
      <c r="B53" s="3" t="s">
        <v>222</v>
      </c>
      <c r="C53" s="3">
        <v>3</v>
      </c>
      <c r="D53" s="3">
        <v>1</v>
      </c>
      <c r="E53" s="2" t="s">
        <v>355</v>
      </c>
      <c r="F53" s="3">
        <v>7</v>
      </c>
      <c r="G53" s="4" t="s">
        <v>578</v>
      </c>
      <c r="H53" s="4">
        <v>2</v>
      </c>
      <c r="I53" s="4"/>
      <c r="J53" s="4"/>
      <c r="K53" s="4"/>
      <c r="L53" s="3">
        <f t="shared" si="0"/>
        <v>5</v>
      </c>
      <c r="M53" s="4"/>
      <c r="N53" s="4"/>
      <c r="O53" s="4"/>
      <c r="P53" s="4"/>
      <c r="Q53" s="4"/>
      <c r="R53" s="4"/>
      <c r="S53" s="3">
        <f t="shared" si="1"/>
        <v>0</v>
      </c>
      <c r="T53" s="5"/>
    </row>
    <row r="54" spans="1:20" ht="28.5" x14ac:dyDescent="0.25">
      <c r="A54" s="3" t="s">
        <v>227</v>
      </c>
      <c r="B54" s="3" t="s">
        <v>222</v>
      </c>
      <c r="C54" s="3">
        <v>3</v>
      </c>
      <c r="D54" s="3">
        <v>2</v>
      </c>
      <c r="E54" s="2" t="s">
        <v>356</v>
      </c>
      <c r="F54" s="3">
        <v>3</v>
      </c>
      <c r="G54" s="4" t="s">
        <v>578</v>
      </c>
      <c r="H54" s="4">
        <v>3</v>
      </c>
      <c r="I54" s="4"/>
      <c r="J54" s="4"/>
      <c r="K54" s="4"/>
      <c r="L54" s="3">
        <f t="shared" si="0"/>
        <v>0</v>
      </c>
      <c r="M54" s="4"/>
      <c r="N54" s="4"/>
      <c r="O54" s="4"/>
      <c r="P54" s="4"/>
      <c r="Q54" s="4"/>
      <c r="R54" s="4"/>
      <c r="S54" s="3">
        <f t="shared" si="1"/>
        <v>0</v>
      </c>
      <c r="T54" s="5"/>
    </row>
    <row r="55" spans="1:20" ht="28.5" x14ac:dyDescent="0.25">
      <c r="A55" s="3" t="s">
        <v>229</v>
      </c>
      <c r="B55" s="3" t="s">
        <v>222</v>
      </c>
      <c r="C55" s="3">
        <v>4</v>
      </c>
      <c r="D55" s="3">
        <v>1</v>
      </c>
      <c r="E55" s="2" t="s">
        <v>357</v>
      </c>
      <c r="F55" s="3">
        <v>8</v>
      </c>
      <c r="G55" s="4" t="s">
        <v>578</v>
      </c>
      <c r="H55" s="4"/>
      <c r="I55" s="4"/>
      <c r="J55" s="4"/>
      <c r="K55" s="4">
        <v>3</v>
      </c>
      <c r="L55" s="3">
        <f t="shared" si="0"/>
        <v>5</v>
      </c>
      <c r="M55" s="4"/>
      <c r="N55" s="4">
        <v>3</v>
      </c>
      <c r="O55" s="4"/>
      <c r="P55" s="4"/>
      <c r="Q55" s="4"/>
      <c r="R55" s="4"/>
      <c r="S55" s="3">
        <f t="shared" si="1"/>
        <v>3</v>
      </c>
      <c r="T55" s="5"/>
    </row>
    <row r="56" spans="1:20" ht="28.5" x14ac:dyDescent="0.25">
      <c r="A56" s="3" t="s">
        <v>229</v>
      </c>
      <c r="B56" s="3" t="s">
        <v>222</v>
      </c>
      <c r="C56" s="3">
        <v>4</v>
      </c>
      <c r="D56" s="3">
        <v>2</v>
      </c>
      <c r="E56" s="2" t="s">
        <v>358</v>
      </c>
      <c r="F56" s="3">
        <v>8</v>
      </c>
      <c r="G56" s="4" t="s">
        <v>578</v>
      </c>
      <c r="H56" s="4">
        <v>2</v>
      </c>
      <c r="I56" s="4"/>
      <c r="J56" s="4"/>
      <c r="K56" s="4">
        <v>3</v>
      </c>
      <c r="L56" s="3">
        <f t="shared" si="0"/>
        <v>3</v>
      </c>
      <c r="M56" s="4"/>
      <c r="N56" s="4">
        <v>3</v>
      </c>
      <c r="O56" s="4"/>
      <c r="P56" s="4"/>
      <c r="Q56" s="4"/>
      <c r="R56" s="4"/>
      <c r="S56" s="3">
        <f t="shared" si="1"/>
        <v>3</v>
      </c>
      <c r="T56" s="5"/>
    </row>
    <row r="57" spans="1:20" ht="28.5" x14ac:dyDescent="0.25">
      <c r="A57" s="3" t="s">
        <v>231</v>
      </c>
      <c r="B57" s="3" t="s">
        <v>222</v>
      </c>
      <c r="C57" s="3">
        <v>5</v>
      </c>
      <c r="D57" s="3">
        <v>1</v>
      </c>
      <c r="E57" s="2" t="s">
        <v>359</v>
      </c>
      <c r="F57" s="3">
        <v>2</v>
      </c>
      <c r="G57" s="4" t="s">
        <v>578</v>
      </c>
      <c r="H57" s="4"/>
      <c r="I57" s="4"/>
      <c r="J57" s="4"/>
      <c r="K57" s="4">
        <v>1</v>
      </c>
      <c r="L57" s="3">
        <f t="shared" si="0"/>
        <v>1</v>
      </c>
      <c r="M57" s="4"/>
      <c r="N57" s="4">
        <v>1</v>
      </c>
      <c r="O57" s="4"/>
      <c r="P57" s="4"/>
      <c r="Q57" s="4"/>
      <c r="R57" s="4"/>
      <c r="S57" s="3">
        <f t="shared" si="1"/>
        <v>1</v>
      </c>
      <c r="T57" s="5"/>
    </row>
    <row r="58" spans="1:20" ht="28.5" x14ac:dyDescent="0.25">
      <c r="A58" s="3" t="s">
        <v>231</v>
      </c>
      <c r="B58" s="3" t="s">
        <v>222</v>
      </c>
      <c r="C58" s="3">
        <v>5</v>
      </c>
      <c r="D58" s="3">
        <v>2</v>
      </c>
      <c r="E58" s="2" t="s">
        <v>360</v>
      </c>
      <c r="F58" s="3">
        <v>6</v>
      </c>
      <c r="G58" s="4" t="s">
        <v>578</v>
      </c>
      <c r="H58" s="4">
        <v>1</v>
      </c>
      <c r="I58" s="4"/>
      <c r="J58" s="4"/>
      <c r="K58" s="4"/>
      <c r="L58" s="3">
        <f t="shared" si="0"/>
        <v>5</v>
      </c>
      <c r="M58" s="4"/>
      <c r="N58" s="4"/>
      <c r="O58" s="4"/>
      <c r="P58" s="4"/>
      <c r="Q58" s="4"/>
      <c r="R58" s="4"/>
      <c r="S58" s="3">
        <f t="shared" si="1"/>
        <v>0</v>
      </c>
      <c r="T58" s="5"/>
    </row>
    <row r="59" spans="1:20" ht="28.5" x14ac:dyDescent="0.25">
      <c r="A59" s="3" t="s">
        <v>231</v>
      </c>
      <c r="B59" s="3" t="s">
        <v>222</v>
      </c>
      <c r="C59" s="3">
        <v>5</v>
      </c>
      <c r="D59" s="3">
        <v>3</v>
      </c>
      <c r="E59" s="2" t="s">
        <v>361</v>
      </c>
      <c r="F59" s="3">
        <v>2</v>
      </c>
      <c r="G59" s="4" t="s">
        <v>578</v>
      </c>
      <c r="H59" s="4">
        <v>1</v>
      </c>
      <c r="I59" s="4"/>
      <c r="J59" s="4"/>
      <c r="K59" s="4"/>
      <c r="L59" s="3">
        <f t="shared" si="0"/>
        <v>1</v>
      </c>
      <c r="M59" s="4"/>
      <c r="N59" s="4"/>
      <c r="O59" s="4"/>
      <c r="P59" s="4"/>
      <c r="Q59" s="4"/>
      <c r="R59" s="4"/>
      <c r="S59" s="3">
        <f t="shared" si="1"/>
        <v>0</v>
      </c>
      <c r="T59" s="5"/>
    </row>
    <row r="60" spans="1:20" ht="28.5" x14ac:dyDescent="0.25">
      <c r="A60" s="3" t="s">
        <v>233</v>
      </c>
      <c r="B60" s="3" t="s">
        <v>234</v>
      </c>
      <c r="C60" s="3">
        <v>1</v>
      </c>
      <c r="D60" s="3">
        <v>1</v>
      </c>
      <c r="E60" s="2" t="s">
        <v>362</v>
      </c>
      <c r="F60" s="3">
        <v>4</v>
      </c>
      <c r="G60" s="4" t="s">
        <v>578</v>
      </c>
      <c r="H60" s="4">
        <v>1</v>
      </c>
      <c r="I60" s="4"/>
      <c r="J60" s="4"/>
      <c r="K60" s="4"/>
      <c r="L60" s="3">
        <f t="shared" si="0"/>
        <v>3</v>
      </c>
      <c r="M60" s="4"/>
      <c r="N60" s="4"/>
      <c r="O60" s="4"/>
      <c r="P60" s="4"/>
      <c r="Q60" s="4"/>
      <c r="R60" s="4"/>
      <c r="S60" s="3">
        <f t="shared" si="1"/>
        <v>0</v>
      </c>
      <c r="T60" s="5"/>
    </row>
    <row r="61" spans="1:20" ht="28.5" x14ac:dyDescent="0.25">
      <c r="A61" s="3" t="s">
        <v>233</v>
      </c>
      <c r="B61" s="3" t="s">
        <v>234</v>
      </c>
      <c r="C61" s="3">
        <v>1</v>
      </c>
      <c r="D61" s="3">
        <v>2</v>
      </c>
      <c r="E61" s="2" t="s">
        <v>363</v>
      </c>
      <c r="F61" s="3">
        <v>6</v>
      </c>
      <c r="G61" s="4" t="s">
        <v>578</v>
      </c>
      <c r="H61" s="4">
        <v>2</v>
      </c>
      <c r="I61" s="4"/>
      <c r="J61" s="4"/>
      <c r="K61" s="4"/>
      <c r="L61" s="3">
        <f t="shared" si="0"/>
        <v>4</v>
      </c>
      <c r="M61" s="4"/>
      <c r="N61" s="4"/>
      <c r="O61" s="4"/>
      <c r="P61" s="4"/>
      <c r="Q61" s="4"/>
      <c r="R61" s="4"/>
      <c r="S61" s="3">
        <f t="shared" si="1"/>
        <v>0</v>
      </c>
      <c r="T61" s="5"/>
    </row>
    <row r="62" spans="1:20" ht="28.5" x14ac:dyDescent="0.25">
      <c r="A62" s="3" t="s">
        <v>237</v>
      </c>
      <c r="B62" s="3" t="s">
        <v>234</v>
      </c>
      <c r="C62" s="3">
        <v>2</v>
      </c>
      <c r="D62" s="3">
        <v>1</v>
      </c>
      <c r="E62" s="2" t="s">
        <v>364</v>
      </c>
      <c r="F62" s="3">
        <v>3</v>
      </c>
      <c r="G62" s="4" t="s">
        <v>578</v>
      </c>
      <c r="H62" s="4">
        <v>1</v>
      </c>
      <c r="I62" s="4">
        <v>1</v>
      </c>
      <c r="J62" s="4"/>
      <c r="K62" s="4"/>
      <c r="L62" s="3">
        <f t="shared" si="0"/>
        <v>1</v>
      </c>
      <c r="M62" s="4"/>
      <c r="N62" s="4"/>
      <c r="O62" s="4"/>
      <c r="P62" s="4"/>
      <c r="Q62" s="4"/>
      <c r="R62" s="4"/>
      <c r="S62" s="3">
        <f t="shared" si="1"/>
        <v>0</v>
      </c>
      <c r="T62" s="5"/>
    </row>
    <row r="63" spans="1:20" ht="42.75" x14ac:dyDescent="0.25">
      <c r="A63" s="3" t="s">
        <v>237</v>
      </c>
      <c r="B63" s="3" t="s">
        <v>234</v>
      </c>
      <c r="C63" s="3">
        <v>2</v>
      </c>
      <c r="D63" s="3">
        <v>2</v>
      </c>
      <c r="E63" s="2" t="s">
        <v>365</v>
      </c>
      <c r="F63" s="3">
        <v>17</v>
      </c>
      <c r="G63" s="4" t="s">
        <v>578</v>
      </c>
      <c r="H63" s="4">
        <v>2</v>
      </c>
      <c r="I63" s="4">
        <v>1</v>
      </c>
      <c r="J63" s="4">
        <v>1</v>
      </c>
      <c r="K63" s="4">
        <v>2</v>
      </c>
      <c r="L63" s="3">
        <f t="shared" si="0"/>
        <v>11</v>
      </c>
      <c r="M63" s="4"/>
      <c r="N63" s="4">
        <v>2</v>
      </c>
      <c r="O63" s="4"/>
      <c r="P63" s="4"/>
      <c r="Q63" s="4"/>
      <c r="R63" s="4"/>
      <c r="S63" s="3">
        <f t="shared" si="1"/>
        <v>2</v>
      </c>
      <c r="T63" s="5"/>
    </row>
    <row r="64" spans="1:20" ht="57" x14ac:dyDescent="0.25">
      <c r="A64" s="3" t="s">
        <v>237</v>
      </c>
      <c r="B64" s="3" t="s">
        <v>234</v>
      </c>
      <c r="C64" s="3">
        <v>2</v>
      </c>
      <c r="D64" s="3">
        <v>3</v>
      </c>
      <c r="E64" s="2" t="s">
        <v>366</v>
      </c>
      <c r="F64" s="3">
        <v>20</v>
      </c>
      <c r="G64" s="4" t="s">
        <v>578</v>
      </c>
      <c r="H64" s="4">
        <v>2</v>
      </c>
      <c r="I64" s="4"/>
      <c r="J64" s="4"/>
      <c r="K64" s="4">
        <v>1</v>
      </c>
      <c r="L64" s="3">
        <f t="shared" si="0"/>
        <v>17</v>
      </c>
      <c r="M64" s="4"/>
      <c r="N64" s="4">
        <v>1</v>
      </c>
      <c r="O64" s="4"/>
      <c r="P64" s="4"/>
      <c r="Q64" s="4"/>
      <c r="R64" s="4"/>
      <c r="S64" s="3">
        <f t="shared" si="1"/>
        <v>1</v>
      </c>
      <c r="T64" s="5"/>
    </row>
    <row r="65" spans="1:20" ht="42.75" x14ac:dyDescent="0.25">
      <c r="A65" s="3" t="s">
        <v>237</v>
      </c>
      <c r="B65" s="3" t="s">
        <v>234</v>
      </c>
      <c r="C65" s="3">
        <v>2</v>
      </c>
      <c r="D65" s="3">
        <v>4</v>
      </c>
      <c r="E65" s="2" t="s">
        <v>367</v>
      </c>
      <c r="F65" s="3">
        <v>13</v>
      </c>
      <c r="G65" s="4" t="s">
        <v>578</v>
      </c>
      <c r="H65" s="4">
        <v>5</v>
      </c>
      <c r="I65" s="4">
        <v>1</v>
      </c>
      <c r="J65" s="4"/>
      <c r="K65" s="4"/>
      <c r="L65" s="3">
        <f t="shared" si="0"/>
        <v>7</v>
      </c>
      <c r="M65" s="4"/>
      <c r="N65" s="4"/>
      <c r="O65" s="4"/>
      <c r="P65" s="4"/>
      <c r="Q65" s="4"/>
      <c r="R65" s="4"/>
      <c r="S65" s="3">
        <f t="shared" si="1"/>
        <v>0</v>
      </c>
      <c r="T65" s="5"/>
    </row>
    <row r="66" spans="1:20" ht="28.5" x14ac:dyDescent="0.25">
      <c r="A66" s="3" t="s">
        <v>237</v>
      </c>
      <c r="B66" s="3" t="s">
        <v>234</v>
      </c>
      <c r="C66" s="3">
        <v>2</v>
      </c>
      <c r="D66" s="3">
        <v>5</v>
      </c>
      <c r="E66" s="2" t="s">
        <v>368</v>
      </c>
      <c r="F66" s="3">
        <v>4</v>
      </c>
      <c r="G66" s="4" t="s">
        <v>578</v>
      </c>
      <c r="H66" s="4">
        <v>1</v>
      </c>
      <c r="I66" s="4"/>
      <c r="J66" s="4"/>
      <c r="K66" s="4"/>
      <c r="L66" s="3">
        <f t="shared" ref="L66:L129" si="2">F66-(H66+I66+J66+K66)</f>
        <v>3</v>
      </c>
      <c r="M66" s="4"/>
      <c r="N66" s="4"/>
      <c r="O66" s="4"/>
      <c r="P66" s="4"/>
      <c r="Q66" s="4"/>
      <c r="R66" s="4"/>
      <c r="S66" s="3">
        <f t="shared" ref="S66:S129" si="3">N66+O66+P66+Q66+R66</f>
        <v>0</v>
      </c>
      <c r="T66" s="5"/>
    </row>
    <row r="67" spans="1:20" ht="28.5" x14ac:dyDescent="0.25">
      <c r="A67" s="3" t="s">
        <v>239</v>
      </c>
      <c r="B67" s="3" t="s">
        <v>234</v>
      </c>
      <c r="C67" s="3">
        <v>3</v>
      </c>
      <c r="D67" s="3">
        <v>1</v>
      </c>
      <c r="E67" s="2" t="s">
        <v>369</v>
      </c>
      <c r="F67" s="3">
        <v>5</v>
      </c>
      <c r="G67" s="4" t="s">
        <v>578</v>
      </c>
      <c r="H67" s="4">
        <v>1</v>
      </c>
      <c r="I67" s="4"/>
      <c r="J67" s="4">
        <v>1</v>
      </c>
      <c r="K67" s="4"/>
      <c r="L67" s="3">
        <f t="shared" si="2"/>
        <v>3</v>
      </c>
      <c r="M67" s="4"/>
      <c r="N67" s="4"/>
      <c r="O67" s="4"/>
      <c r="P67" s="4"/>
      <c r="Q67" s="4"/>
      <c r="R67" s="4"/>
      <c r="S67" s="3">
        <f t="shared" si="3"/>
        <v>0</v>
      </c>
      <c r="T67" s="5"/>
    </row>
    <row r="68" spans="1:20" ht="28.5" x14ac:dyDescent="0.25">
      <c r="A68" s="3" t="s">
        <v>239</v>
      </c>
      <c r="B68" s="3" t="s">
        <v>234</v>
      </c>
      <c r="C68" s="3">
        <v>3</v>
      </c>
      <c r="D68" s="3">
        <v>2</v>
      </c>
      <c r="E68" s="2" t="s">
        <v>370</v>
      </c>
      <c r="F68" s="3">
        <v>10</v>
      </c>
      <c r="G68" s="4" t="s">
        <v>578</v>
      </c>
      <c r="H68" s="4">
        <v>2</v>
      </c>
      <c r="I68" s="4"/>
      <c r="J68" s="4"/>
      <c r="K68" s="4"/>
      <c r="L68" s="3">
        <f t="shared" si="2"/>
        <v>8</v>
      </c>
      <c r="M68" s="4"/>
      <c r="N68" s="4"/>
      <c r="O68" s="4"/>
      <c r="P68" s="4"/>
      <c r="Q68" s="4"/>
      <c r="R68" s="4"/>
      <c r="S68" s="3">
        <f t="shared" si="3"/>
        <v>0</v>
      </c>
      <c r="T68" s="5"/>
    </row>
    <row r="69" spans="1:20" ht="28.5" x14ac:dyDescent="0.25">
      <c r="A69" s="3" t="s">
        <v>239</v>
      </c>
      <c r="B69" s="3" t="s">
        <v>234</v>
      </c>
      <c r="C69" s="3">
        <v>3</v>
      </c>
      <c r="D69" s="3">
        <v>3</v>
      </c>
      <c r="E69" s="2" t="inlineStr">
        <is>
          <t xml:space="preserve">Кӏэкӏэу къэпIо.</t>
        </is>
      </c>
      <c r="F69" s="3">
        <v>2</v>
      </c>
      <c r="G69" s="4" t="s">
        <v>578</v>
      </c>
      <c r="H69" s="4">
        <v>1</v>
      </c>
      <c r="I69" s="4"/>
      <c r="J69" s="4"/>
      <c r="K69" s="4"/>
      <c r="L69" s="3">
        <f t="shared" si="2"/>
        <v>1</v>
      </c>
      <c r="M69" s="4"/>
      <c r="N69" s="4"/>
      <c r="O69" s="4"/>
      <c r="P69" s="4"/>
      <c r="Q69" s="4"/>
      <c r="R69" s="4"/>
      <c r="S69" s="3">
        <f t="shared" si="3"/>
        <v>0</v>
      </c>
      <c r="T69" s="5" t="inlineStr">
        <is>
          <t>Yazı sistemi karışıklığı.</t>
        </is>
      </c>
    </row>
    <row r="70" spans="1:20" ht="28.5" x14ac:dyDescent="0.25">
      <c r="A70" s="3" t="s">
        <v>241</v>
      </c>
      <c r="B70" s="3" t="s">
        <v>234</v>
      </c>
      <c r="C70" s="3">
        <v>4</v>
      </c>
      <c r="D70" s="3">
        <v>1</v>
      </c>
      <c r="E70" s="2" t="s">
        <v>372</v>
      </c>
      <c r="F70" s="3">
        <v>2</v>
      </c>
      <c r="G70" s="4" t="s">
        <v>578</v>
      </c>
      <c r="H70" s="4">
        <v>1</v>
      </c>
      <c r="I70" s="4"/>
      <c r="J70" s="4"/>
      <c r="K70" s="4"/>
      <c r="L70" s="3">
        <f t="shared" si="2"/>
        <v>1</v>
      </c>
      <c r="M70" s="4"/>
      <c r="N70" s="4"/>
      <c r="O70" s="4"/>
      <c r="P70" s="4"/>
      <c r="Q70" s="4"/>
      <c r="R70" s="4"/>
      <c r="S70" s="3">
        <f t="shared" si="3"/>
        <v>0</v>
      </c>
      <c r="T70" s="5"/>
    </row>
    <row r="71" spans="1:20" ht="28.5" x14ac:dyDescent="0.25">
      <c r="A71" s="3" t="s">
        <v>241</v>
      </c>
      <c r="B71" s="3" t="s">
        <v>234</v>
      </c>
      <c r="C71" s="3">
        <v>4</v>
      </c>
      <c r="D71" s="3">
        <v>2</v>
      </c>
      <c r="E71" s="2" t="s">
        <v>373</v>
      </c>
      <c r="F71" s="3">
        <v>7</v>
      </c>
      <c r="G71" s="4" t="s">
        <v>578</v>
      </c>
      <c r="H71" s="4">
        <v>1</v>
      </c>
      <c r="I71" s="4">
        <v>1</v>
      </c>
      <c r="J71" s="4">
        <v>1</v>
      </c>
      <c r="K71" s="4">
        <v>1</v>
      </c>
      <c r="L71" s="3">
        <f t="shared" si="2"/>
        <v>3</v>
      </c>
      <c r="M71" s="4"/>
      <c r="N71" s="4">
        <v>1</v>
      </c>
      <c r="O71" s="4"/>
      <c r="P71" s="4"/>
      <c r="Q71" s="4"/>
      <c r="R71" s="4"/>
      <c r="S71" s="3">
        <f t="shared" si="3"/>
        <v>1</v>
      </c>
      <c r="T71" s="5"/>
    </row>
    <row r="72" spans="1:20" ht="28.5" x14ac:dyDescent="0.25">
      <c r="A72" s="3" t="s">
        <v>241</v>
      </c>
      <c r="B72" s="3" t="s">
        <v>234</v>
      </c>
      <c r="C72" s="3">
        <v>4</v>
      </c>
      <c r="D72" s="3">
        <v>3</v>
      </c>
      <c r="E72" s="2" t="s">
        <v>374</v>
      </c>
      <c r="F72" s="3">
        <v>8</v>
      </c>
      <c r="G72" s="4" t="s">
        <v>578</v>
      </c>
      <c r="H72" s="4">
        <v>2</v>
      </c>
      <c r="I72" s="4"/>
      <c r="J72" s="4"/>
      <c r="K72" s="4"/>
      <c r="L72" s="3">
        <f t="shared" si="2"/>
        <v>6</v>
      </c>
      <c r="M72" s="4"/>
      <c r="N72" s="4"/>
      <c r="O72" s="4"/>
      <c r="P72" s="4"/>
      <c r="Q72" s="4"/>
      <c r="R72" s="4"/>
      <c r="S72" s="3">
        <f t="shared" si="3"/>
        <v>0</v>
      </c>
      <c r="T72" s="5"/>
    </row>
    <row r="73" spans="1:20" ht="28.5" x14ac:dyDescent="0.25">
      <c r="A73" s="3" t="s">
        <v>243</v>
      </c>
      <c r="B73" s="3" t="s">
        <v>234</v>
      </c>
      <c r="C73" s="3">
        <v>5</v>
      </c>
      <c r="D73" s="3">
        <v>1</v>
      </c>
      <c r="E73" s="2" t="s">
        <v>375</v>
      </c>
      <c r="F73" s="3">
        <v>2</v>
      </c>
      <c r="G73" s="4" t="s">
        <v>578</v>
      </c>
      <c r="H73" s="4">
        <v>1</v>
      </c>
      <c r="I73" s="4"/>
      <c r="J73" s="4"/>
      <c r="K73" s="4"/>
      <c r="L73" s="3">
        <f t="shared" si="2"/>
        <v>1</v>
      </c>
      <c r="M73" s="4"/>
      <c r="N73" s="4"/>
      <c r="O73" s="4"/>
      <c r="P73" s="4"/>
      <c r="Q73" s="4"/>
      <c r="R73" s="4"/>
      <c r="S73" s="3">
        <f t="shared" si="3"/>
        <v>0</v>
      </c>
      <c r="T73" s="5"/>
    </row>
    <row r="74" spans="1:20" ht="28.5" x14ac:dyDescent="0.25">
      <c r="A74" s="3" t="s">
        <v>243</v>
      </c>
      <c r="B74" s="3" t="s">
        <v>234</v>
      </c>
      <c r="C74" s="3">
        <v>5</v>
      </c>
      <c r="D74" s="3">
        <v>2</v>
      </c>
      <c r="E74" s="2" t="s">
        <v>376</v>
      </c>
      <c r="F74" s="3">
        <v>4</v>
      </c>
      <c r="G74" s="4" t="s">
        <v>578</v>
      </c>
      <c r="H74" s="4">
        <v>1</v>
      </c>
      <c r="I74" s="4"/>
      <c r="J74" s="4"/>
      <c r="K74" s="4"/>
      <c r="L74" s="3">
        <f t="shared" si="2"/>
        <v>3</v>
      </c>
      <c r="M74" s="4"/>
      <c r="N74" s="4"/>
      <c r="O74" s="4"/>
      <c r="P74" s="4"/>
      <c r="Q74" s="4"/>
      <c r="R74" s="4"/>
      <c r="S74" s="3">
        <f t="shared" si="3"/>
        <v>0</v>
      </c>
      <c r="T74" s="5"/>
    </row>
    <row r="75" spans="1:20" x14ac:dyDescent="0.25">
      <c r="A75" s="3" t="s">
        <v>245</v>
      </c>
      <c r="B75" s="3" t="s">
        <v>246</v>
      </c>
      <c r="C75" s="3">
        <v>1</v>
      </c>
      <c r="D75" s="3">
        <v>1</v>
      </c>
      <c r="E75" s="2" t="s">
        <v>377</v>
      </c>
      <c r="F75" s="3">
        <v>4</v>
      </c>
      <c r="G75" s="4" t="s">
        <v>577</v>
      </c>
      <c r="H75" s="4"/>
      <c r="I75" s="4"/>
      <c r="J75" s="4"/>
      <c r="K75" s="4"/>
      <c r="L75" s="3">
        <f t="shared" si="2"/>
        <v>4</v>
      </c>
      <c r="M75" s="4"/>
      <c r="N75" s="4"/>
      <c r="O75" s="4"/>
      <c r="P75" s="4"/>
      <c r="Q75" s="4"/>
      <c r="R75" s="4"/>
      <c r="S75" s="3">
        <f t="shared" si="3"/>
        <v>0</v>
      </c>
      <c r="T75" s="5"/>
    </row>
    <row r="76" spans="1:20" x14ac:dyDescent="0.25">
      <c r="A76" s="3" t="s">
        <v>245</v>
      </c>
      <c r="B76" s="3" t="s">
        <v>246</v>
      </c>
      <c r="C76" s="3">
        <v>1</v>
      </c>
      <c r="D76" s="3">
        <v>2</v>
      </c>
      <c r="E76" s="2" t="s">
        <v>378</v>
      </c>
      <c r="F76" s="3">
        <v>4</v>
      </c>
      <c r="G76" s="4" t="s">
        <v>577</v>
      </c>
      <c r="H76" s="4"/>
      <c r="I76" s="4"/>
      <c r="J76" s="4"/>
      <c r="K76" s="4"/>
      <c r="L76" s="3">
        <f t="shared" si="2"/>
        <v>4</v>
      </c>
      <c r="M76" s="4"/>
      <c r="N76" s="4"/>
      <c r="O76" s="4"/>
      <c r="P76" s="4"/>
      <c r="Q76" s="4"/>
      <c r="R76" s="4"/>
      <c r="S76" s="3">
        <f t="shared" si="3"/>
        <v>0</v>
      </c>
      <c r="T76" s="5"/>
    </row>
    <row r="77" spans="1:20" x14ac:dyDescent="0.25">
      <c r="A77" s="3" t="s">
        <v>245</v>
      </c>
      <c r="B77" s="3" t="s">
        <v>246</v>
      </c>
      <c r="C77" s="3">
        <v>1</v>
      </c>
      <c r="D77" s="3">
        <v>3</v>
      </c>
      <c r="E77" s="2" t="s">
        <v>379</v>
      </c>
      <c r="F77" s="3">
        <v>5</v>
      </c>
      <c r="G77" s="4" t="s">
        <v>577</v>
      </c>
      <c r="H77" s="4"/>
      <c r="I77" s="4"/>
      <c r="J77" s="4"/>
      <c r="K77" s="4"/>
      <c r="L77" s="3">
        <f t="shared" si="2"/>
        <v>5</v>
      </c>
      <c r="M77" s="4"/>
      <c r="N77" s="4"/>
      <c r="O77" s="4"/>
      <c r="P77" s="4"/>
      <c r="Q77" s="4"/>
      <c r="R77" s="4"/>
      <c r="S77" s="3">
        <f t="shared" si="3"/>
        <v>0</v>
      </c>
      <c r="T77" s="5"/>
    </row>
    <row r="78" spans="1:20" x14ac:dyDescent="0.25">
      <c r="A78" s="3" t="s">
        <v>245</v>
      </c>
      <c r="B78" s="3" t="s">
        <v>246</v>
      </c>
      <c r="C78" s="3">
        <v>1</v>
      </c>
      <c r="D78" s="3">
        <v>4</v>
      </c>
      <c r="E78" s="2" t="s">
        <v>380</v>
      </c>
      <c r="F78" s="3">
        <v>4</v>
      </c>
      <c r="G78" s="4" t="s">
        <v>577</v>
      </c>
      <c r="H78" s="4"/>
      <c r="I78" s="4"/>
      <c r="J78" s="4"/>
      <c r="K78" s="4"/>
      <c r="L78" s="3">
        <f t="shared" si="2"/>
        <v>4</v>
      </c>
      <c r="M78" s="4"/>
      <c r="N78" s="4"/>
      <c r="O78" s="4"/>
      <c r="P78" s="4"/>
      <c r="Q78" s="4"/>
      <c r="R78" s="4"/>
      <c r="S78" s="3">
        <f t="shared" si="3"/>
        <v>0</v>
      </c>
      <c r="T78" s="5"/>
    </row>
    <row r="79" spans="1:20" x14ac:dyDescent="0.25">
      <c r="A79" s="3" t="s">
        <v>245</v>
      </c>
      <c r="B79" s="3" t="s">
        <v>246</v>
      </c>
      <c r="C79" s="3">
        <v>1</v>
      </c>
      <c r="D79" s="3">
        <v>5</v>
      </c>
      <c r="E79" s="2" t="s">
        <v>381</v>
      </c>
      <c r="F79" s="3">
        <v>3</v>
      </c>
      <c r="G79" s="4" t="s">
        <v>577</v>
      </c>
      <c r="H79" s="4"/>
      <c r="I79" s="4"/>
      <c r="J79" s="4"/>
      <c r="K79" s="4"/>
      <c r="L79" s="3">
        <f t="shared" si="2"/>
        <v>3</v>
      </c>
      <c r="M79" s="4"/>
      <c r="N79" s="4"/>
      <c r="O79" s="4"/>
      <c r="P79" s="4"/>
      <c r="Q79" s="4"/>
      <c r="R79" s="4"/>
      <c r="S79" s="3">
        <f t="shared" si="3"/>
        <v>0</v>
      </c>
      <c r="T79" s="5"/>
    </row>
    <row r="80" spans="1:20" x14ac:dyDescent="0.25">
      <c r="A80" s="3" t="s">
        <v>245</v>
      </c>
      <c r="B80" s="3" t="s">
        <v>246</v>
      </c>
      <c r="C80" s="3">
        <v>1</v>
      </c>
      <c r="D80" s="3">
        <v>6</v>
      </c>
      <c r="E80" s="2" t="s">
        <v>382</v>
      </c>
      <c r="F80" s="3">
        <v>3</v>
      </c>
      <c r="G80" s="4" t="s">
        <v>577</v>
      </c>
      <c r="H80" s="4"/>
      <c r="I80" s="4"/>
      <c r="J80" s="4"/>
      <c r="K80" s="4"/>
      <c r="L80" s="3">
        <f t="shared" si="2"/>
        <v>3</v>
      </c>
      <c r="M80" s="4"/>
      <c r="N80" s="4"/>
      <c r="O80" s="4"/>
      <c r="P80" s="4"/>
      <c r="Q80" s="4"/>
      <c r="R80" s="4"/>
      <c r="S80" s="3">
        <f t="shared" si="3"/>
        <v>0</v>
      </c>
      <c r="T80" s="5"/>
    </row>
    <row r="81" spans="1:20" x14ac:dyDescent="0.25">
      <c r="A81" s="3" t="s">
        <v>245</v>
      </c>
      <c r="B81" s="3" t="s">
        <v>246</v>
      </c>
      <c r="C81" s="3">
        <v>1</v>
      </c>
      <c r="D81" s="3">
        <v>7</v>
      </c>
      <c r="E81" s="2" t="s">
        <v>383</v>
      </c>
      <c r="F81" s="3">
        <v>3</v>
      </c>
      <c r="G81" s="4" t="s">
        <v>577</v>
      </c>
      <c r="H81" s="4"/>
      <c r="I81" s="4"/>
      <c r="J81" s="4"/>
      <c r="K81" s="4"/>
      <c r="L81" s="3">
        <f t="shared" si="2"/>
        <v>3</v>
      </c>
      <c r="M81" s="4"/>
      <c r="N81" s="4"/>
      <c r="O81" s="4"/>
      <c r="P81" s="4"/>
      <c r="Q81" s="4"/>
      <c r="R81" s="4"/>
      <c r="S81" s="3">
        <f t="shared" si="3"/>
        <v>0</v>
      </c>
      <c r="T81" s="5"/>
    </row>
    <row r="82" spans="1:20" x14ac:dyDescent="0.25">
      <c r="A82" s="3" t="s">
        <v>245</v>
      </c>
      <c r="B82" s="3" t="s">
        <v>246</v>
      </c>
      <c r="C82" s="3">
        <v>1</v>
      </c>
      <c r="D82" s="3">
        <v>8</v>
      </c>
      <c r="E82" s="2" t="s">
        <v>384</v>
      </c>
      <c r="F82" s="3">
        <v>3</v>
      </c>
      <c r="G82" s="4" t="s">
        <v>577</v>
      </c>
      <c r="H82" s="4"/>
      <c r="I82" s="4"/>
      <c r="J82" s="4"/>
      <c r="K82" s="4"/>
      <c r="L82" s="3">
        <f t="shared" si="2"/>
        <v>3</v>
      </c>
      <c r="M82" s="4"/>
      <c r="N82" s="4"/>
      <c r="O82" s="4"/>
      <c r="P82" s="4"/>
      <c r="Q82" s="4"/>
      <c r="R82" s="4"/>
      <c r="S82" s="3">
        <f t="shared" si="3"/>
        <v>0</v>
      </c>
      <c r="T82" s="5"/>
    </row>
    <row r="83" spans="1:20" x14ac:dyDescent="0.25">
      <c r="A83" s="3" t="s">
        <v>245</v>
      </c>
      <c r="B83" s="3" t="s">
        <v>246</v>
      </c>
      <c r="C83" s="3">
        <v>1</v>
      </c>
      <c r="D83" s="3">
        <v>9</v>
      </c>
      <c r="E83" s="2" t="s">
        <v>385</v>
      </c>
      <c r="F83" s="3">
        <v>6</v>
      </c>
      <c r="G83" s="4" t="s">
        <v>577</v>
      </c>
      <c r="H83" s="4"/>
      <c r="I83" s="4"/>
      <c r="J83" s="4"/>
      <c r="K83" s="4"/>
      <c r="L83" s="3">
        <f t="shared" si="2"/>
        <v>6</v>
      </c>
      <c r="M83" s="4"/>
      <c r="N83" s="4"/>
      <c r="O83" s="4"/>
      <c r="P83" s="4"/>
      <c r="Q83" s="4"/>
      <c r="R83" s="4"/>
      <c r="S83" s="3">
        <f t="shared" si="3"/>
        <v>0</v>
      </c>
      <c r="T83" s="5"/>
    </row>
    <row r="84" spans="1:20" ht="213.75" x14ac:dyDescent="0.25">
      <c r="A84" s="3" t="s">
        <v>245</v>
      </c>
      <c r="B84" s="3" t="s">
        <v>246</v>
      </c>
      <c r="C84" s="3">
        <v>1</v>
      </c>
      <c r="D84" s="3">
        <v>10</v>
      </c>
      <c r="E84" s="2" t="s">
        <v>386</v>
      </c>
      <c r="F84" s="3">
        <v>7</v>
      </c>
      <c r="G84" s="4" t="s">
        <v>578</v>
      </c>
      <c r="H84" s="4"/>
      <c r="I84" s="4">
        <v>1</v>
      </c>
      <c r="J84" s="4"/>
      <c r="K84" s="4"/>
      <c r="L84" s="3">
        <f t="shared" si="2"/>
        <v>6</v>
      </c>
      <c r="M84" s="4"/>
      <c r="N84" s="4"/>
      <c r="O84" s="4"/>
      <c r="P84" s="4"/>
      <c r="Q84" s="4"/>
      <c r="R84" s="4"/>
      <c r="S84" s="3">
        <f t="shared" si="3"/>
        <v>0</v>
      </c>
      <c r="T84" s="7" t="s">
        <v>579</v>
      </c>
    </row>
    <row r="85" spans="1:20" ht="28.5" x14ac:dyDescent="0.25">
      <c r="A85" s="3" t="s">
        <v>245</v>
      </c>
      <c r="B85" s="3" t="s">
        <v>246</v>
      </c>
      <c r="C85" s="3">
        <v>1</v>
      </c>
      <c r="D85" s="3">
        <v>11</v>
      </c>
      <c r="E85" s="2" t="s">
        <v>387</v>
      </c>
      <c r="F85" s="3">
        <v>15</v>
      </c>
      <c r="G85" s="4" t="s">
        <v>577</v>
      </c>
      <c r="H85" s="4"/>
      <c r="I85" s="4"/>
      <c r="J85" s="4"/>
      <c r="K85" s="4"/>
      <c r="L85" s="3">
        <f t="shared" si="2"/>
        <v>15</v>
      </c>
      <c r="M85" s="4"/>
      <c r="N85" s="4"/>
      <c r="O85" s="4"/>
      <c r="P85" s="4"/>
      <c r="Q85" s="4"/>
      <c r="R85" s="4"/>
      <c r="S85" s="3">
        <f t="shared" si="3"/>
        <v>0</v>
      </c>
      <c r="T85" s="5"/>
    </row>
    <row r="86" spans="1:20" x14ac:dyDescent="0.25">
      <c r="A86" s="3" t="s">
        <v>249</v>
      </c>
      <c r="B86" s="3" t="s">
        <v>246</v>
      </c>
      <c r="C86" s="3">
        <v>2</v>
      </c>
      <c r="D86" s="3">
        <v>1</v>
      </c>
      <c r="E86" s="2" t="s">
        <v>388</v>
      </c>
      <c r="F86" s="3">
        <v>4</v>
      </c>
      <c r="G86" s="4" t="s">
        <v>577</v>
      </c>
      <c r="H86" s="4"/>
      <c r="I86" s="4"/>
      <c r="J86" s="4"/>
      <c r="K86" s="4"/>
      <c r="L86" s="3">
        <f t="shared" si="2"/>
        <v>4</v>
      </c>
      <c r="M86" s="4"/>
      <c r="N86" s="4"/>
      <c r="O86" s="4"/>
      <c r="P86" s="4"/>
      <c r="Q86" s="4"/>
      <c r="R86" s="4"/>
      <c r="S86" s="3">
        <f t="shared" si="3"/>
        <v>0</v>
      </c>
      <c r="T86" s="5"/>
    </row>
    <row r="87" spans="1:20" ht="28.5" x14ac:dyDescent="0.25">
      <c r="A87" s="3" t="s">
        <v>249</v>
      </c>
      <c r="B87" s="3" t="s">
        <v>246</v>
      </c>
      <c r="C87" s="3">
        <v>2</v>
      </c>
      <c r="D87" s="3">
        <v>2</v>
      </c>
      <c r="E87" s="2" t="s">
        <v>389</v>
      </c>
      <c r="F87" s="3">
        <v>4</v>
      </c>
      <c r="G87" s="4" t="s">
        <v>578</v>
      </c>
      <c r="H87" s="4"/>
      <c r="I87" s="4"/>
      <c r="J87" s="4"/>
      <c r="K87" s="4">
        <v>1</v>
      </c>
      <c r="L87" s="3">
        <f t="shared" si="2"/>
        <v>3</v>
      </c>
      <c r="M87" s="4"/>
      <c r="N87" s="4"/>
      <c r="O87" s="4">
        <v>1</v>
      </c>
      <c r="P87" s="4"/>
      <c r="Q87" s="4"/>
      <c r="R87" s="4"/>
      <c r="S87" s="3">
        <f t="shared" si="3"/>
        <v>1</v>
      </c>
      <c r="T87" s="5" t="inlineStr">
        <is>
          <t>Yazı sistemi karışıklığı.</t>
        </is>
      </c>
    </row>
    <row r="88" spans="1:20" x14ac:dyDescent="0.25">
      <c r="A88" s="3" t="s">
        <v>249</v>
      </c>
      <c r="B88" s="3" t="s">
        <v>246</v>
      </c>
      <c r="C88" s="3">
        <v>2</v>
      </c>
      <c r="D88" s="3">
        <v>3</v>
      </c>
      <c r="E88" s="2" t="s">
        <v>390</v>
      </c>
      <c r="F88" s="3">
        <v>4</v>
      </c>
      <c r="G88" s="4" t="s">
        <v>577</v>
      </c>
      <c r="H88" s="4"/>
      <c r="I88" s="4"/>
      <c r="J88" s="4"/>
      <c r="K88" s="4"/>
      <c r="L88" s="3">
        <f t="shared" si="2"/>
        <v>4</v>
      </c>
      <c r="M88" s="4"/>
      <c r="N88" s="4"/>
      <c r="O88" s="4"/>
      <c r="P88" s="4"/>
      <c r="Q88" s="4"/>
      <c r="R88" s="4"/>
      <c r="S88" s="3">
        <f t="shared" si="3"/>
        <v>0</v>
      </c>
      <c r="T88" s="5"/>
    </row>
    <row r="89" spans="1:20" x14ac:dyDescent="0.25">
      <c r="A89" s="3" t="s">
        <v>249</v>
      </c>
      <c r="B89" s="3" t="s">
        <v>246</v>
      </c>
      <c r="C89" s="3">
        <v>2</v>
      </c>
      <c r="D89" s="3">
        <v>4</v>
      </c>
      <c r="E89" s="2" t="s">
        <v>391</v>
      </c>
      <c r="F89" s="3">
        <v>5</v>
      </c>
      <c r="G89" s="4" t="s">
        <v>577</v>
      </c>
      <c r="H89" s="4"/>
      <c r="I89" s="4"/>
      <c r="J89" s="4"/>
      <c r="K89" s="4"/>
      <c r="L89" s="3">
        <f t="shared" si="2"/>
        <v>5</v>
      </c>
      <c r="M89" s="4"/>
      <c r="N89" s="4"/>
      <c r="O89" s="4"/>
      <c r="P89" s="4"/>
      <c r="Q89" s="4"/>
      <c r="R89" s="4"/>
      <c r="S89" s="3">
        <f t="shared" si="3"/>
        <v>0</v>
      </c>
      <c r="T89" s="5"/>
    </row>
    <row r="90" spans="1:20" x14ac:dyDescent="0.25">
      <c r="A90" s="3" t="s">
        <v>249</v>
      </c>
      <c r="B90" s="3" t="s">
        <v>246</v>
      </c>
      <c r="C90" s="3">
        <v>2</v>
      </c>
      <c r="D90" s="3">
        <v>5</v>
      </c>
      <c r="E90" s="2" t="s">
        <v>392</v>
      </c>
      <c r="F90" s="3">
        <v>5</v>
      </c>
      <c r="G90" s="4" t="s">
        <v>577</v>
      </c>
      <c r="H90" s="4"/>
      <c r="I90" s="4"/>
      <c r="J90" s="4"/>
      <c r="K90" s="4"/>
      <c r="L90" s="3">
        <f t="shared" si="2"/>
        <v>5</v>
      </c>
      <c r="M90" s="4"/>
      <c r="N90" s="4"/>
      <c r="O90" s="4"/>
      <c r="P90" s="4"/>
      <c r="Q90" s="4"/>
      <c r="R90" s="4"/>
      <c r="S90" s="3">
        <f t="shared" si="3"/>
        <v>0</v>
      </c>
      <c r="T90" s="5"/>
    </row>
    <row r="91" spans="1:20" x14ac:dyDescent="0.25">
      <c r="A91" s="3" t="s">
        <v>249</v>
      </c>
      <c r="B91" s="3" t="s">
        <v>246</v>
      </c>
      <c r="C91" s="3">
        <v>2</v>
      </c>
      <c r="D91" s="3">
        <v>6</v>
      </c>
      <c r="E91" s="2" t="s">
        <v>393</v>
      </c>
      <c r="F91" s="3">
        <v>2</v>
      </c>
      <c r="G91" s="4" t="s">
        <v>577</v>
      </c>
      <c r="H91" s="4"/>
      <c r="I91" s="4"/>
      <c r="J91" s="4"/>
      <c r="K91" s="4"/>
      <c r="L91" s="3">
        <f t="shared" si="2"/>
        <v>2</v>
      </c>
      <c r="M91" s="4"/>
      <c r="N91" s="4"/>
      <c r="O91" s="4"/>
      <c r="P91" s="4"/>
      <c r="Q91" s="4"/>
      <c r="R91" s="4"/>
      <c r="S91" s="3">
        <f t="shared" si="3"/>
        <v>0</v>
      </c>
      <c r="T91" s="5"/>
    </row>
    <row r="92" spans="1:20" x14ac:dyDescent="0.25">
      <c r="A92" s="3" t="s">
        <v>249</v>
      </c>
      <c r="B92" s="3" t="s">
        <v>246</v>
      </c>
      <c r="C92" s="3">
        <v>2</v>
      </c>
      <c r="D92" s="3">
        <v>7</v>
      </c>
      <c r="E92" s="2" t="s">
        <v>382</v>
      </c>
      <c r="F92" s="3">
        <v>3</v>
      </c>
      <c r="G92" s="4" t="s">
        <v>577</v>
      </c>
      <c r="H92" s="4"/>
      <c r="I92" s="4"/>
      <c r="J92" s="4"/>
      <c r="K92" s="4"/>
      <c r="L92" s="3">
        <f t="shared" si="2"/>
        <v>3</v>
      </c>
      <c r="M92" s="4"/>
      <c r="N92" s="4"/>
      <c r="O92" s="4"/>
      <c r="P92" s="4"/>
      <c r="Q92" s="4"/>
      <c r="R92" s="4"/>
      <c r="S92" s="3">
        <f t="shared" si="3"/>
        <v>0</v>
      </c>
      <c r="T92" s="5"/>
    </row>
    <row r="93" spans="1:20" x14ac:dyDescent="0.25">
      <c r="A93" s="3" t="s">
        <v>249</v>
      </c>
      <c r="B93" s="3" t="s">
        <v>246</v>
      </c>
      <c r="C93" s="3">
        <v>2</v>
      </c>
      <c r="D93" s="3">
        <v>8</v>
      </c>
      <c r="E93" s="2" t="s">
        <v>394</v>
      </c>
      <c r="F93" s="3">
        <v>5</v>
      </c>
      <c r="G93" s="4" t="s">
        <v>577</v>
      </c>
      <c r="H93" s="4"/>
      <c r="I93" s="4"/>
      <c r="J93" s="4"/>
      <c r="K93" s="4"/>
      <c r="L93" s="3">
        <f t="shared" si="2"/>
        <v>5</v>
      </c>
      <c r="M93" s="4"/>
      <c r="N93" s="4"/>
      <c r="O93" s="4"/>
      <c r="P93" s="4"/>
      <c r="Q93" s="4"/>
      <c r="R93" s="4"/>
      <c r="S93" s="3">
        <f t="shared" si="3"/>
        <v>0</v>
      </c>
      <c r="T93" s="5"/>
    </row>
    <row r="94" spans="1:20" ht="28.5" x14ac:dyDescent="0.25">
      <c r="A94" s="3" t="s">
        <v>249</v>
      </c>
      <c r="B94" s="3" t="s">
        <v>246</v>
      </c>
      <c r="C94" s="3">
        <v>2</v>
      </c>
      <c r="D94" s="3">
        <v>9</v>
      </c>
      <c r="E94" s="2" t="s">
        <v>395</v>
      </c>
      <c r="F94" s="3">
        <v>3</v>
      </c>
      <c r="G94" s="4" t="s">
        <v>578</v>
      </c>
      <c r="H94" s="4"/>
      <c r="I94" s="4">
        <v>1</v>
      </c>
      <c r="J94" s="4"/>
      <c r="K94" s="4"/>
      <c r="L94" s="3">
        <f t="shared" si="2"/>
        <v>2</v>
      </c>
      <c r="M94" s="4"/>
      <c r="N94" s="4"/>
      <c r="O94" s="4"/>
      <c r="P94" s="4"/>
      <c r="Q94" s="4"/>
      <c r="R94" s="4"/>
      <c r="S94" s="3">
        <f t="shared" si="3"/>
        <v>0</v>
      </c>
      <c r="T94" s="5"/>
    </row>
    <row r="95" spans="1:20" x14ac:dyDescent="0.25">
      <c r="A95" s="3" t="s">
        <v>249</v>
      </c>
      <c r="B95" s="3" t="s">
        <v>246</v>
      </c>
      <c r="C95" s="3">
        <v>2</v>
      </c>
      <c r="D95" s="3">
        <v>10</v>
      </c>
      <c r="E95" s="2" t="s">
        <v>396</v>
      </c>
      <c r="F95" s="3">
        <v>8</v>
      </c>
      <c r="G95" s="8" t="s">
        <v>577</v>
      </c>
      <c r="H95" s="4"/>
      <c r="I95" s="4"/>
      <c r="J95" s="4"/>
      <c r="K95" s="4"/>
      <c r="L95" s="3">
        <f t="shared" si="2"/>
        <v>8</v>
      </c>
      <c r="M95" s="4"/>
      <c r="N95" s="4"/>
      <c r="O95" s="4"/>
      <c r="P95" s="4"/>
      <c r="Q95" s="4"/>
      <c r="R95" s="4"/>
      <c r="S95" s="3">
        <f t="shared" si="3"/>
        <v>0</v>
      </c>
      <c r="T95" s="5"/>
    </row>
    <row r="96" spans="1:20" x14ac:dyDescent="0.25">
      <c r="A96" s="3" t="s">
        <v>249</v>
      </c>
      <c r="B96" s="3" t="s">
        <v>246</v>
      </c>
      <c r="C96" s="3">
        <v>2</v>
      </c>
      <c r="D96" s="3">
        <v>11</v>
      </c>
      <c r="E96" s="2" t="s">
        <v>397</v>
      </c>
      <c r="F96" s="3">
        <v>6</v>
      </c>
      <c r="G96" s="8" t="s">
        <v>577</v>
      </c>
      <c r="H96" s="4"/>
      <c r="I96" s="4"/>
      <c r="J96" s="4"/>
      <c r="K96" s="4"/>
      <c r="L96" s="3">
        <f t="shared" si="2"/>
        <v>6</v>
      </c>
      <c r="M96" s="4"/>
      <c r="N96" s="4"/>
      <c r="O96" s="4"/>
      <c r="P96" s="4"/>
      <c r="Q96" s="4"/>
      <c r="R96" s="4"/>
      <c r="S96" s="3">
        <f t="shared" si="3"/>
        <v>0</v>
      </c>
      <c r="T96" s="5"/>
    </row>
    <row r="97" spans="1:20" ht="28.5" x14ac:dyDescent="0.25">
      <c r="A97" s="3" t="s">
        <v>249</v>
      </c>
      <c r="B97" s="3" t="s">
        <v>246</v>
      </c>
      <c r="C97" s="3">
        <v>2</v>
      </c>
      <c r="D97" s="3">
        <v>12</v>
      </c>
      <c r="E97" s="2" t="s">
        <v>398</v>
      </c>
      <c r="F97" s="3">
        <v>20</v>
      </c>
      <c r="G97" s="8" t="s">
        <v>577</v>
      </c>
      <c r="H97" s="4"/>
      <c r="I97" s="4"/>
      <c r="J97" s="4"/>
      <c r="K97" s="4"/>
      <c r="L97" s="3">
        <f t="shared" si="2"/>
        <v>20</v>
      </c>
      <c r="M97" s="4"/>
      <c r="N97" s="4"/>
      <c r="O97" s="4"/>
      <c r="P97" s="4"/>
      <c r="Q97" s="4"/>
      <c r="R97" s="4"/>
      <c r="S97" s="3">
        <f t="shared" si="3"/>
        <v>0</v>
      </c>
      <c r="T97" s="5"/>
    </row>
    <row r="98" spans="1:20" ht="42.75" x14ac:dyDescent="0.25">
      <c r="A98" s="3" t="s">
        <v>249</v>
      </c>
      <c r="B98" s="3" t="s">
        <v>246</v>
      </c>
      <c r="C98" s="3">
        <v>2</v>
      </c>
      <c r="D98" s="3">
        <v>13</v>
      </c>
      <c r="E98" s="2" t="s">
        <v>399</v>
      </c>
      <c r="F98" s="3">
        <v>16</v>
      </c>
      <c r="G98" s="4" t="s">
        <v>578</v>
      </c>
      <c r="H98" s="4">
        <v>2</v>
      </c>
      <c r="I98" s="4"/>
      <c r="J98" s="4">
        <v>1</v>
      </c>
      <c r="K98" s="4">
        <v>3</v>
      </c>
      <c r="L98" s="3">
        <f t="shared" si="2"/>
        <v>10</v>
      </c>
      <c r="M98" s="4"/>
      <c r="N98" s="4"/>
      <c r="O98" s="4">
        <v>1</v>
      </c>
      <c r="P98" s="4">
        <v>2</v>
      </c>
      <c r="Q98" s="4"/>
      <c r="R98" s="4"/>
      <c r="S98" s="3">
        <f t="shared" si="3"/>
        <v>3</v>
      </c>
      <c r="T98" s="5" t="inlineStr">
        <is>
          <t>Yazı sistemi karışıklığı.</t>
        </is>
      </c>
    </row>
    <row r="99" spans="1:20" ht="28.5" x14ac:dyDescent="0.25">
      <c r="A99" s="3" t="s">
        <v>249</v>
      </c>
      <c r="B99" s="3" t="s">
        <v>246</v>
      </c>
      <c r="C99" s="3">
        <v>2</v>
      </c>
      <c r="D99" s="3">
        <v>14</v>
      </c>
      <c r="E99" s="2" t="s">
        <v>400</v>
      </c>
      <c r="F99" s="3">
        <v>4</v>
      </c>
      <c r="G99" s="4" t="s">
        <v>578</v>
      </c>
      <c r="H99" s="4"/>
      <c r="I99" s="4">
        <v>1</v>
      </c>
      <c r="J99" s="4"/>
      <c r="K99" s="4"/>
      <c r="L99" s="3">
        <f t="shared" si="2"/>
        <v>3</v>
      </c>
      <c r="M99" s="4"/>
      <c r="N99" s="4"/>
      <c r="O99" s="4"/>
      <c r="P99" s="4"/>
      <c r="Q99" s="4"/>
      <c r="R99" s="4"/>
      <c r="S99" s="3">
        <f t="shared" si="3"/>
        <v>0</v>
      </c>
      <c r="T99" s="5" t="inlineStr">
        <is>
          <t>Cümle bölünme hatası: başlangıç.</t>
        </is>
      </c>
    </row>
    <row r="100" spans="1:20" ht="28.5" x14ac:dyDescent="0.25">
      <c r="A100" s="3" t="s">
        <v>249</v>
      </c>
      <c r="B100" s="3" t="s">
        <v>246</v>
      </c>
      <c r="C100" s="3">
        <v>2</v>
      </c>
      <c r="D100" s="3">
        <v>15</v>
      </c>
      <c r="E100" s="2" t="s">
        <v>401</v>
      </c>
      <c r="F100" s="3">
        <v>4</v>
      </c>
      <c r="G100" s="4" t="s">
        <v>577</v>
      </c>
      <c r="H100" s="4"/>
      <c r="I100" s="4"/>
      <c r="J100" s="4"/>
      <c r="K100" s="4"/>
      <c r="L100" s="3">
        <f t="shared" si="2"/>
        <v>4</v>
      </c>
      <c r="M100" s="4"/>
      <c r="N100" s="4"/>
      <c r="O100" s="4"/>
      <c r="P100" s="4"/>
      <c r="Q100" s="4"/>
      <c r="R100" s="4"/>
      <c r="S100" s="3">
        <f t="shared" si="3"/>
        <v>0</v>
      </c>
      <c r="T100" s="5" t="inlineStr">
        <is>
          <t>Cümle bölünme hatası: devam.</t>
        </is>
      </c>
    </row>
    <row r="101" spans="1:20" ht="28.5" x14ac:dyDescent="0.25">
      <c r="A101" s="3" t="s">
        <v>249</v>
      </c>
      <c r="B101" s="3" t="s">
        <v>246</v>
      </c>
      <c r="C101" s="3">
        <v>2</v>
      </c>
      <c r="D101" s="3">
        <v>16</v>
      </c>
      <c r="E101" s="2" t="s">
        <v>402</v>
      </c>
      <c r="F101" s="3">
        <v>8</v>
      </c>
      <c r="G101" s="4" t="s">
        <v>578</v>
      </c>
      <c r="H101" s="4">
        <v>1</v>
      </c>
      <c r="I101" s="4">
        <v>1</v>
      </c>
      <c r="J101" s="4"/>
      <c r="K101" s="4"/>
      <c r="L101" s="3">
        <f t="shared" si="2"/>
        <v>6</v>
      </c>
      <c r="M101" s="4"/>
      <c r="N101" s="4"/>
      <c r="O101" s="4"/>
      <c r="P101" s="4"/>
      <c r="Q101" s="4"/>
      <c r="R101" s="4"/>
      <c r="S101" s="3">
        <f t="shared" si="3"/>
        <v>0</v>
      </c>
      <c r="T101" s="5"/>
    </row>
    <row r="102" spans="1:20" ht="28.5" x14ac:dyDescent="0.25">
      <c r="A102" s="3" t="s">
        <v>249</v>
      </c>
      <c r="B102" s="3" t="s">
        <v>246</v>
      </c>
      <c r="C102" s="3">
        <v>2</v>
      </c>
      <c r="D102" s="3">
        <v>17</v>
      </c>
      <c r="E102" s="2" t="s">
        <v>403</v>
      </c>
      <c r="F102" s="3">
        <v>11</v>
      </c>
      <c r="G102" s="8" t="s">
        <v>578</v>
      </c>
      <c r="H102" s="4">
        <v>3</v>
      </c>
      <c r="I102" s="4"/>
      <c r="J102" s="4"/>
      <c r="K102" s="4"/>
      <c r="L102" s="3">
        <f t="shared" si="2"/>
        <v>8</v>
      </c>
      <c r="M102" s="4"/>
      <c r="N102" s="4"/>
      <c r="O102" s="4"/>
      <c r="P102" s="4"/>
      <c r="Q102" s="4"/>
      <c r="R102" s="4"/>
      <c r="S102" s="3">
        <f t="shared" si="3"/>
        <v>0</v>
      </c>
      <c r="T102" s="5" t="inlineStr">
        <is>
          <t>Cümle bölünme hatası: başlangıç.</t>
        </is>
      </c>
    </row>
    <row r="103" spans="1:20" ht="28.5" x14ac:dyDescent="0.25">
      <c r="A103" s="3" t="s">
        <v>249</v>
      </c>
      <c r="B103" s="3" t="s">
        <v>246</v>
      </c>
      <c r="C103" s="3">
        <v>2</v>
      </c>
      <c r="D103" s="3">
        <v>18</v>
      </c>
      <c r="E103" s="2" t="s">
        <v>404</v>
      </c>
      <c r="F103" s="3">
        <v>7</v>
      </c>
      <c r="G103" s="4" t="s">
        <v>577</v>
      </c>
      <c r="H103" s="4"/>
      <c r="I103" s="4"/>
      <c r="J103" s="4"/>
      <c r="K103" s="4"/>
      <c r="L103" s="3">
        <f t="shared" si="2"/>
        <v>7</v>
      </c>
      <c r="M103" s="4"/>
      <c r="N103" s="4"/>
      <c r="O103" s="4"/>
      <c r="P103" s="4"/>
      <c r="Q103" s="4"/>
      <c r="R103" s="4"/>
      <c r="S103" s="3">
        <f t="shared" si="3"/>
        <v>0</v>
      </c>
      <c r="T103" s="5" t="inlineStr">
        <is>
          <t>Cümle bölünme hatası: devam.</t>
        </is>
      </c>
    </row>
    <row r="104" spans="1:20" ht="42.75" x14ac:dyDescent="0.25">
      <c r="A104" s="3" t="s">
        <v>249</v>
      </c>
      <c r="B104" s="3" t="s">
        <v>246</v>
      </c>
      <c r="C104" s="3">
        <v>2</v>
      </c>
      <c r="D104" s="3">
        <v>19</v>
      </c>
      <c r="E104" s="2" t="s">
        <v>405</v>
      </c>
      <c r="F104" s="3">
        <v>16</v>
      </c>
      <c r="G104" s="4" t="s">
        <v>578</v>
      </c>
      <c r="H104" s="4">
        <v>1</v>
      </c>
      <c r="I104" s="4">
        <v>1</v>
      </c>
      <c r="J104" s="4">
        <v>2</v>
      </c>
      <c r="K104" s="4">
        <v>1</v>
      </c>
      <c r="L104" s="3">
        <f t="shared" si="2"/>
        <v>11</v>
      </c>
      <c r="M104" s="4"/>
      <c r="N104" s="4">
        <v>1</v>
      </c>
      <c r="O104" s="4"/>
      <c r="P104" s="4"/>
      <c r="Q104" s="4"/>
      <c r="R104" s="4"/>
      <c r="S104" s="3">
        <f t="shared" si="3"/>
        <v>1</v>
      </c>
      <c r="T104" s="5" t="inlineStr">
        <is>
          <t>Cümle bölünme hatası: devam.</t>
        </is>
      </c>
    </row>
    <row r="105" spans="1:20" ht="28.5" x14ac:dyDescent="0.25">
      <c r="A105" s="3" t="s">
        <v>249</v>
      </c>
      <c r="B105" s="3" t="s">
        <v>246</v>
      </c>
      <c r="C105" s="3">
        <v>2</v>
      </c>
      <c r="D105" s="3">
        <v>20</v>
      </c>
      <c r="E105" s="2" t="s">
        <v>406</v>
      </c>
      <c r="F105" s="3">
        <v>6</v>
      </c>
      <c r="G105" s="8" t="s">
        <v>578</v>
      </c>
      <c r="H105" s="4">
        <v>1</v>
      </c>
      <c r="I105" s="4"/>
      <c r="J105" s="4">
        <v>1</v>
      </c>
      <c r="K105" s="4"/>
      <c r="L105" s="3">
        <f t="shared" si="2"/>
        <v>4</v>
      </c>
      <c r="M105" s="4"/>
      <c r="N105" s="4"/>
      <c r="O105" s="4"/>
      <c r="P105" s="4"/>
      <c r="Q105" s="4"/>
      <c r="R105" s="4"/>
      <c r="S105" s="3">
        <f t="shared" si="3"/>
        <v>0</v>
      </c>
      <c r="T105" s="5" t="inlineStr">
        <is>
          <t>Cümle bölünme hatası: başlangıç.</t>
        </is>
      </c>
    </row>
    <row r="106" spans="1:20" ht="28.5" x14ac:dyDescent="0.25">
      <c r="A106" s="3" t="s">
        <v>249</v>
      </c>
      <c r="B106" s="3" t="s">
        <v>246</v>
      </c>
      <c r="C106" s="3">
        <v>2</v>
      </c>
      <c r="D106" s="3">
        <v>21</v>
      </c>
      <c r="E106" s="2" t="s">
        <v>407</v>
      </c>
      <c r="F106" s="3">
        <v>14</v>
      </c>
      <c r="G106" s="4" t="s">
        <v>578</v>
      </c>
      <c r="H106" s="4">
        <v>1</v>
      </c>
      <c r="I106" s="4"/>
      <c r="J106" s="4">
        <v>1</v>
      </c>
      <c r="K106" s="4"/>
      <c r="L106" s="3">
        <f t="shared" si="2"/>
        <v>12</v>
      </c>
      <c r="M106" s="4"/>
      <c r="N106" s="4"/>
      <c r="O106" s="4"/>
      <c r="P106" s="4"/>
      <c r="Q106" s="4"/>
      <c r="R106" s="4"/>
      <c r="S106" s="3">
        <f t="shared" si="3"/>
        <v>0</v>
      </c>
      <c r="T106" s="5" t="inlineStr">
        <is>
          <t>Cümle bölünme hatası: devam.</t>
        </is>
      </c>
    </row>
    <row r="107" spans="1:20" ht="28.5" x14ac:dyDescent="0.25">
      <c r="A107" s="3" t="s">
        <v>249</v>
      </c>
      <c r="B107" s="3" t="s">
        <v>246</v>
      </c>
      <c r="C107" s="3">
        <v>2</v>
      </c>
      <c r="D107" s="3">
        <v>22</v>
      </c>
      <c r="E107" s="2" t="s">
        <v>408</v>
      </c>
      <c r="F107" s="3">
        <v>10</v>
      </c>
      <c r="G107" s="4" t="s">
        <v>578</v>
      </c>
      <c r="H107" s="4"/>
      <c r="I107" s="4">
        <v>1</v>
      </c>
      <c r="J107" s="4"/>
      <c r="K107" s="4"/>
      <c r="L107" s="3">
        <f t="shared" si="2"/>
        <v>9</v>
      </c>
      <c r="M107" s="4"/>
      <c r="N107" s="4"/>
      <c r="O107" s="4"/>
      <c r="P107" s="4"/>
      <c r="Q107" s="4"/>
      <c r="R107" s="4"/>
      <c r="S107" s="3">
        <f t="shared" si="3"/>
        <v>0</v>
      </c>
      <c r="T107" s="5"/>
    </row>
    <row r="108" spans="1:20" ht="28.5" x14ac:dyDescent="0.25">
      <c r="A108" s="3" t="s">
        <v>249</v>
      </c>
      <c r="B108" s="3" t="s">
        <v>246</v>
      </c>
      <c r="C108" s="3">
        <v>2</v>
      </c>
      <c r="D108" s="3">
        <v>23</v>
      </c>
      <c r="E108" s="2" t="s">
        <v>409</v>
      </c>
      <c r="F108" s="3">
        <v>7</v>
      </c>
      <c r="G108" s="4" t="s">
        <v>578</v>
      </c>
      <c r="H108" s="4"/>
      <c r="I108" s="4">
        <v>3</v>
      </c>
      <c r="J108" s="4">
        <v>1</v>
      </c>
      <c r="K108" s="4"/>
      <c r="L108" s="3">
        <f t="shared" si="2"/>
        <v>3</v>
      </c>
      <c r="M108" s="4"/>
      <c r="N108" s="4"/>
      <c r="O108" s="4"/>
      <c r="P108" s="4"/>
      <c r="Q108" s="4"/>
      <c r="R108" s="4"/>
      <c r="S108" s="3">
        <f t="shared" si="3"/>
        <v>0</v>
      </c>
      <c r="T108" s="5"/>
    </row>
    <row r="109" spans="1:20" x14ac:dyDescent="0.25">
      <c r="A109" s="3" t="s">
        <v>251</v>
      </c>
      <c r="B109" s="3" t="s">
        <v>246</v>
      </c>
      <c r="C109" s="3">
        <v>3</v>
      </c>
      <c r="D109" s="3">
        <v>1</v>
      </c>
      <c r="E109" s="2" t="s">
        <v>410</v>
      </c>
      <c r="F109" s="3">
        <v>9</v>
      </c>
      <c r="G109" s="4" t="s">
        <v>577</v>
      </c>
      <c r="H109" s="4"/>
      <c r="I109" s="4"/>
      <c r="J109" s="4"/>
      <c r="K109" s="4"/>
      <c r="L109" s="3">
        <f t="shared" si="2"/>
        <v>9</v>
      </c>
      <c r="M109" s="4"/>
      <c r="N109" s="4"/>
      <c r="O109" s="4"/>
      <c r="P109" s="4"/>
      <c r="Q109" s="4"/>
      <c r="R109" s="4"/>
      <c r="S109" s="3">
        <f t="shared" si="3"/>
        <v>0</v>
      </c>
      <c r="T109" s="5"/>
    </row>
    <row r="110" spans="1:20" ht="28.5" x14ac:dyDescent="0.25">
      <c r="A110" s="3" t="s">
        <v>251</v>
      </c>
      <c r="B110" s="3" t="s">
        <v>246</v>
      </c>
      <c r="C110" s="3">
        <v>3</v>
      </c>
      <c r="D110" s="3">
        <v>2</v>
      </c>
      <c r="E110" s="2" t="s">
        <v>411</v>
      </c>
      <c r="F110" s="3">
        <v>6</v>
      </c>
      <c r="G110" s="4" t="s">
        <v>578</v>
      </c>
      <c r="H110" s="4">
        <v>1</v>
      </c>
      <c r="I110" s="4"/>
      <c r="J110" s="4"/>
      <c r="K110" s="4"/>
      <c r="L110" s="3">
        <f t="shared" si="2"/>
        <v>5</v>
      </c>
      <c r="M110" s="4"/>
      <c r="N110" s="4"/>
      <c r="O110" s="4"/>
      <c r="P110" s="4"/>
      <c r="Q110" s="4"/>
      <c r="R110" s="4"/>
      <c r="S110" s="3">
        <f t="shared" si="3"/>
        <v>0</v>
      </c>
      <c r="T110" s="5"/>
    </row>
    <row r="111" spans="1:20" x14ac:dyDescent="0.25">
      <c r="A111" s="3" t="s">
        <v>251</v>
      </c>
      <c r="B111" s="3" t="s">
        <v>246</v>
      </c>
      <c r="C111" s="3">
        <v>3</v>
      </c>
      <c r="D111" s="3">
        <v>3</v>
      </c>
      <c r="E111" s="2" t="s">
        <v>412</v>
      </c>
      <c r="F111" s="3">
        <v>4</v>
      </c>
      <c r="G111" s="4" t="s">
        <v>577</v>
      </c>
      <c r="H111" s="4"/>
      <c r="I111" s="4"/>
      <c r="J111" s="4"/>
      <c r="K111" s="4"/>
      <c r="L111" s="3">
        <f t="shared" si="2"/>
        <v>4</v>
      </c>
      <c r="M111" s="4"/>
      <c r="N111" s="4"/>
      <c r="O111" s="4"/>
      <c r="P111" s="4"/>
      <c r="Q111" s="4"/>
      <c r="R111" s="4"/>
      <c r="S111" s="3">
        <f t="shared" si="3"/>
        <v>0</v>
      </c>
      <c r="T111" s="5"/>
    </row>
    <row r="112" spans="1:20" ht="28.5" x14ac:dyDescent="0.25">
      <c r="A112" s="3" t="s">
        <v>251</v>
      </c>
      <c r="B112" s="3" t="s">
        <v>246</v>
      </c>
      <c r="C112" s="3">
        <v>3</v>
      </c>
      <c r="D112" s="3">
        <v>4</v>
      </c>
      <c r="E112" s="2" t="s">
        <v>413</v>
      </c>
      <c r="F112" s="3">
        <v>4</v>
      </c>
      <c r="G112" s="4" t="s">
        <v>578</v>
      </c>
      <c r="H112" s="4"/>
      <c r="I112" s="4">
        <v>1</v>
      </c>
      <c r="J112" s="4"/>
      <c r="K112" s="4"/>
      <c r="L112" s="3">
        <f t="shared" si="2"/>
        <v>3</v>
      </c>
      <c r="M112" s="4"/>
      <c r="N112" s="4"/>
      <c r="O112" s="4"/>
      <c r="P112" s="4"/>
      <c r="Q112" s="4"/>
      <c r="R112" s="4"/>
      <c r="S112" s="3">
        <f t="shared" si="3"/>
        <v>0</v>
      </c>
      <c r="T112" s="5"/>
    </row>
    <row r="113" spans="1:20" ht="28.5" x14ac:dyDescent="0.25">
      <c r="A113" s="3" t="s">
        <v>251</v>
      </c>
      <c r="B113" s="3" t="s">
        <v>246</v>
      </c>
      <c r="C113" s="3">
        <v>3</v>
      </c>
      <c r="D113" s="3">
        <v>5</v>
      </c>
      <c r="E113" s="2" t="s">
        <v>414</v>
      </c>
      <c r="F113" s="3">
        <v>3</v>
      </c>
      <c r="G113" s="4" t="s">
        <v>578</v>
      </c>
      <c r="H113" s="4"/>
      <c r="I113" s="4">
        <v>1</v>
      </c>
      <c r="J113" s="4"/>
      <c r="K113" s="4"/>
      <c r="L113" s="3">
        <f t="shared" si="2"/>
        <v>2</v>
      </c>
      <c r="M113" s="4"/>
      <c r="N113" s="4"/>
      <c r="O113" s="4"/>
      <c r="P113" s="4"/>
      <c r="Q113" s="4"/>
      <c r="R113" s="4"/>
      <c r="S113" s="3">
        <f t="shared" si="3"/>
        <v>0</v>
      </c>
      <c r="T113" s="5"/>
    </row>
    <row r="114" spans="1:20" x14ac:dyDescent="0.25">
      <c r="A114" s="3" t="s">
        <v>251</v>
      </c>
      <c r="B114" s="3" t="s">
        <v>246</v>
      </c>
      <c r="C114" s="3">
        <v>3</v>
      </c>
      <c r="D114" s="3">
        <v>6</v>
      </c>
      <c r="E114" s="2" t="s">
        <v>382</v>
      </c>
      <c r="F114" s="3">
        <v>3</v>
      </c>
      <c r="G114" s="4" t="s">
        <v>577</v>
      </c>
      <c r="H114" s="4"/>
      <c r="I114" s="4"/>
      <c r="J114" s="4"/>
      <c r="K114" s="4"/>
      <c r="L114" s="3">
        <f t="shared" si="2"/>
        <v>3</v>
      </c>
      <c r="M114" s="4"/>
      <c r="N114" s="4"/>
      <c r="O114" s="4"/>
      <c r="P114" s="4"/>
      <c r="Q114" s="4"/>
      <c r="R114" s="4"/>
      <c r="S114" s="3">
        <f t="shared" si="3"/>
        <v>0</v>
      </c>
      <c r="T114" s="5"/>
    </row>
    <row r="115" spans="1:20" x14ac:dyDescent="0.25">
      <c r="A115" s="3" t="s">
        <v>251</v>
      </c>
      <c r="B115" s="3" t="s">
        <v>246</v>
      </c>
      <c r="C115" s="3">
        <v>3</v>
      </c>
      <c r="D115" s="3">
        <v>7</v>
      </c>
      <c r="E115" s="2" t="s">
        <v>415</v>
      </c>
      <c r="F115" s="3">
        <v>4</v>
      </c>
      <c r="G115" s="4" t="s">
        <v>577</v>
      </c>
      <c r="H115" s="4"/>
      <c r="I115" s="4"/>
      <c r="J115" s="4"/>
      <c r="K115" s="4"/>
      <c r="L115" s="3">
        <f t="shared" si="2"/>
        <v>4</v>
      </c>
      <c r="M115" s="4"/>
      <c r="N115" s="4"/>
      <c r="O115" s="4"/>
      <c r="P115" s="4"/>
      <c r="Q115" s="4"/>
      <c r="R115" s="4"/>
      <c r="S115" s="3">
        <f t="shared" si="3"/>
        <v>0</v>
      </c>
      <c r="T115" s="5"/>
    </row>
    <row r="116" spans="1:20" x14ac:dyDescent="0.25">
      <c r="A116" s="3" t="s">
        <v>251</v>
      </c>
      <c r="B116" s="3" t="s">
        <v>246</v>
      </c>
      <c r="C116" s="3">
        <v>3</v>
      </c>
      <c r="D116" s="3">
        <v>8</v>
      </c>
      <c r="E116" s="2" t="s">
        <v>416</v>
      </c>
      <c r="F116" s="3">
        <v>4</v>
      </c>
      <c r="G116" s="4" t="s">
        <v>577</v>
      </c>
      <c r="H116" s="4"/>
      <c r="I116" s="4"/>
      <c r="J116" s="4"/>
      <c r="K116" s="4"/>
      <c r="L116" s="3">
        <f t="shared" si="2"/>
        <v>4</v>
      </c>
      <c r="M116" s="4"/>
      <c r="N116" s="4"/>
      <c r="O116" s="4"/>
      <c r="P116" s="4"/>
      <c r="Q116" s="4"/>
      <c r="R116" s="4"/>
      <c r="S116" s="3">
        <f t="shared" si="3"/>
        <v>0</v>
      </c>
      <c r="T116" s="5"/>
    </row>
    <row r="117" spans="1:20" x14ac:dyDescent="0.25">
      <c r="A117" s="3" t="s">
        <v>251</v>
      </c>
      <c r="B117" s="3" t="s">
        <v>246</v>
      </c>
      <c r="C117" s="3">
        <v>3</v>
      </c>
      <c r="D117" s="3">
        <v>9</v>
      </c>
      <c r="E117" s="2" t="s">
        <v>417</v>
      </c>
      <c r="F117" s="3">
        <v>9</v>
      </c>
      <c r="G117" s="4" t="s">
        <v>577</v>
      </c>
      <c r="H117" s="4"/>
      <c r="I117" s="4"/>
      <c r="J117" s="4"/>
      <c r="K117" s="4"/>
      <c r="L117" s="3">
        <f t="shared" si="2"/>
        <v>9</v>
      </c>
      <c r="M117" s="4"/>
      <c r="N117" s="4"/>
      <c r="O117" s="4"/>
      <c r="P117" s="4"/>
      <c r="Q117" s="4"/>
      <c r="R117" s="4"/>
      <c r="S117" s="3">
        <f t="shared" si="3"/>
        <v>0</v>
      </c>
      <c r="T117" s="5"/>
    </row>
    <row r="118" spans="1:20" ht="28.5" x14ac:dyDescent="0.25">
      <c r="A118" s="3" t="s">
        <v>251</v>
      </c>
      <c r="B118" s="3" t="s">
        <v>246</v>
      </c>
      <c r="C118" s="3">
        <v>3</v>
      </c>
      <c r="D118" s="3">
        <v>10</v>
      </c>
      <c r="E118" s="2" t="s">
        <v>418</v>
      </c>
      <c r="F118" s="3">
        <v>7</v>
      </c>
      <c r="G118" s="4" t="s">
        <v>578</v>
      </c>
      <c r="H118" s="4"/>
      <c r="I118" s="4">
        <v>1</v>
      </c>
      <c r="J118" s="4"/>
      <c r="K118" s="4"/>
      <c r="L118" s="3">
        <f t="shared" si="2"/>
        <v>6</v>
      </c>
      <c r="M118" s="4"/>
      <c r="N118" s="4"/>
      <c r="O118" s="4"/>
      <c r="P118" s="4"/>
      <c r="Q118" s="4"/>
      <c r="R118" s="4"/>
      <c r="S118" s="3">
        <f t="shared" si="3"/>
        <v>0</v>
      </c>
      <c r="T118" s="5"/>
    </row>
    <row r="119" spans="1:20" ht="28.5" x14ac:dyDescent="0.25">
      <c r="A119" s="3" t="s">
        <v>251</v>
      </c>
      <c r="B119" s="3" t="s">
        <v>246</v>
      </c>
      <c r="C119" s="3">
        <v>3</v>
      </c>
      <c r="D119" s="3">
        <v>11</v>
      </c>
      <c r="E119" s="2" t="s">
        <v>419</v>
      </c>
      <c r="F119" s="3">
        <v>17</v>
      </c>
      <c r="G119" s="4" t="s">
        <v>577</v>
      </c>
      <c r="H119" s="4"/>
      <c r="I119" s="4"/>
      <c r="J119" s="4"/>
      <c r="K119" s="4"/>
      <c r="L119" s="3">
        <f t="shared" si="2"/>
        <v>17</v>
      </c>
      <c r="M119" s="4"/>
      <c r="N119" s="4"/>
      <c r="O119" s="4"/>
      <c r="P119" s="4"/>
      <c r="Q119" s="4"/>
      <c r="R119" s="4"/>
      <c r="S119" s="3">
        <f t="shared" si="3"/>
        <v>0</v>
      </c>
      <c r="T119" s="5"/>
    </row>
    <row r="120" spans="1:20" x14ac:dyDescent="0.25">
      <c r="A120" s="3" t="s">
        <v>253</v>
      </c>
      <c r="B120" s="3" t="s">
        <v>246</v>
      </c>
      <c r="C120" s="3">
        <v>4</v>
      </c>
      <c r="D120" s="3">
        <v>1</v>
      </c>
      <c r="E120" s="2" t="s">
        <v>420</v>
      </c>
      <c r="F120" s="3">
        <v>2</v>
      </c>
      <c r="G120" s="4" t="s">
        <v>577</v>
      </c>
      <c r="H120" s="4"/>
      <c r="I120" s="4"/>
      <c r="J120" s="4"/>
      <c r="K120" s="4"/>
      <c r="L120" s="3">
        <f t="shared" si="2"/>
        <v>2</v>
      </c>
      <c r="M120" s="4"/>
      <c r="N120" s="4"/>
      <c r="O120" s="4"/>
      <c r="P120" s="4"/>
      <c r="Q120" s="4"/>
      <c r="R120" s="4"/>
      <c r="S120" s="3">
        <f t="shared" si="3"/>
        <v>0</v>
      </c>
      <c r="T120" s="5"/>
    </row>
    <row r="121" spans="1:20" x14ac:dyDescent="0.25">
      <c r="A121" s="3" t="s">
        <v>253</v>
      </c>
      <c r="B121" s="3" t="s">
        <v>246</v>
      </c>
      <c r="C121" s="3">
        <v>4</v>
      </c>
      <c r="D121" s="3">
        <v>2</v>
      </c>
      <c r="E121" s="2" t="s">
        <v>421</v>
      </c>
      <c r="F121" s="3">
        <v>4</v>
      </c>
      <c r="G121" s="4" t="s">
        <v>577</v>
      </c>
      <c r="H121" s="4"/>
      <c r="I121" s="4"/>
      <c r="J121" s="4"/>
      <c r="K121" s="4"/>
      <c r="L121" s="3">
        <f t="shared" si="2"/>
        <v>4</v>
      </c>
      <c r="M121" s="4"/>
      <c r="N121" s="4"/>
      <c r="O121" s="4"/>
      <c r="P121" s="4"/>
      <c r="Q121" s="4"/>
      <c r="R121" s="4"/>
      <c r="S121" s="3">
        <f t="shared" si="3"/>
        <v>0</v>
      </c>
      <c r="T121" s="5"/>
    </row>
    <row r="122" spans="1:20" ht="28.5" x14ac:dyDescent="0.25">
      <c r="A122" s="3" t="s">
        <v>253</v>
      </c>
      <c r="B122" s="3" t="s">
        <v>246</v>
      </c>
      <c r="C122" s="3">
        <v>4</v>
      </c>
      <c r="D122" s="3">
        <v>3</v>
      </c>
      <c r="E122" s="2" t="s">
        <v>422</v>
      </c>
      <c r="F122" s="3">
        <v>4</v>
      </c>
      <c r="G122" s="4" t="s">
        <v>578</v>
      </c>
      <c r="H122" s="4"/>
      <c r="I122" s="4">
        <v>1</v>
      </c>
      <c r="J122" s="4"/>
      <c r="K122" s="4"/>
      <c r="L122" s="3">
        <f t="shared" si="2"/>
        <v>3</v>
      </c>
      <c r="M122" s="4"/>
      <c r="N122" s="4"/>
      <c r="O122" s="4"/>
      <c r="P122" s="4"/>
      <c r="Q122" s="4"/>
      <c r="R122" s="4"/>
      <c r="S122" s="3">
        <f t="shared" si="3"/>
        <v>0</v>
      </c>
      <c r="T122" s="5"/>
    </row>
    <row r="123" spans="1:20" x14ac:dyDescent="0.25">
      <c r="A123" s="3" t="s">
        <v>253</v>
      </c>
      <c r="B123" s="3" t="s">
        <v>246</v>
      </c>
      <c r="C123" s="3">
        <v>4</v>
      </c>
      <c r="D123" s="3">
        <v>4</v>
      </c>
      <c r="E123" s="2" t="s">
        <v>423</v>
      </c>
      <c r="F123" s="3">
        <v>4</v>
      </c>
      <c r="G123" s="4" t="s">
        <v>577</v>
      </c>
      <c r="H123" s="4"/>
      <c r="I123" s="4"/>
      <c r="J123" s="4"/>
      <c r="K123" s="4"/>
      <c r="L123" s="3">
        <f t="shared" si="2"/>
        <v>4</v>
      </c>
      <c r="M123" s="4"/>
      <c r="N123" s="4"/>
      <c r="O123" s="4"/>
      <c r="P123" s="4"/>
      <c r="Q123" s="4"/>
      <c r="R123" s="4"/>
      <c r="S123" s="3">
        <f t="shared" si="3"/>
        <v>0</v>
      </c>
      <c r="T123" s="5"/>
    </row>
    <row r="124" spans="1:20" x14ac:dyDescent="0.25">
      <c r="A124" s="3" t="s">
        <v>253</v>
      </c>
      <c r="B124" s="3" t="s">
        <v>246</v>
      </c>
      <c r="C124" s="3">
        <v>4</v>
      </c>
      <c r="D124" s="3">
        <v>5</v>
      </c>
      <c r="E124" s="2" t="s">
        <v>424</v>
      </c>
      <c r="F124" s="3">
        <v>5</v>
      </c>
      <c r="G124" s="4" t="s">
        <v>577</v>
      </c>
      <c r="H124" s="4"/>
      <c r="I124" s="4"/>
      <c r="J124" s="4"/>
      <c r="K124" s="4"/>
      <c r="L124" s="3">
        <f t="shared" si="2"/>
        <v>5</v>
      </c>
      <c r="M124" s="4"/>
      <c r="N124" s="4"/>
      <c r="O124" s="4"/>
      <c r="P124" s="4"/>
      <c r="Q124" s="4"/>
      <c r="R124" s="4"/>
      <c r="S124" s="3">
        <f t="shared" si="3"/>
        <v>0</v>
      </c>
      <c r="T124" s="5"/>
    </row>
    <row r="125" spans="1:20" ht="28.5" x14ac:dyDescent="0.25">
      <c r="A125" s="3" t="s">
        <v>253</v>
      </c>
      <c r="B125" s="3" t="s">
        <v>246</v>
      </c>
      <c r="C125" s="3">
        <v>4</v>
      </c>
      <c r="D125" s="3">
        <v>6</v>
      </c>
      <c r="E125" s="2" t="s">
        <v>425</v>
      </c>
      <c r="F125" s="3">
        <v>2</v>
      </c>
      <c r="G125" s="4" t="s">
        <v>578</v>
      </c>
      <c r="H125" s="4"/>
      <c r="I125" s="4">
        <v>1</v>
      </c>
      <c r="J125" s="4"/>
      <c r="K125" s="4"/>
      <c r="L125" s="3">
        <f t="shared" si="2"/>
        <v>1</v>
      </c>
      <c r="M125" s="4"/>
      <c r="N125" s="4"/>
      <c r="O125" s="4"/>
      <c r="P125" s="4"/>
      <c r="Q125" s="4"/>
      <c r="R125" s="4"/>
      <c r="S125" s="3">
        <f t="shared" si="3"/>
        <v>0</v>
      </c>
      <c r="T125" s="5"/>
    </row>
    <row r="126" spans="1:20" x14ac:dyDescent="0.25">
      <c r="A126" s="3" t="s">
        <v>253</v>
      </c>
      <c r="B126" s="3" t="s">
        <v>246</v>
      </c>
      <c r="C126" s="3">
        <v>4</v>
      </c>
      <c r="D126" s="3">
        <v>7</v>
      </c>
      <c r="E126" s="2" t="s">
        <v>382</v>
      </c>
      <c r="F126" s="3">
        <v>3</v>
      </c>
      <c r="G126" s="8" t="s">
        <v>577</v>
      </c>
      <c r="H126" s="4"/>
      <c r="I126" s="4"/>
      <c r="J126" s="4"/>
      <c r="K126" s="4"/>
      <c r="L126" s="3">
        <f t="shared" si="2"/>
        <v>3</v>
      </c>
      <c r="M126" s="4"/>
      <c r="N126" s="4"/>
      <c r="O126" s="4"/>
      <c r="P126" s="4"/>
      <c r="Q126" s="4"/>
      <c r="R126" s="4"/>
      <c r="S126" s="3">
        <f t="shared" si="3"/>
        <v>0</v>
      </c>
      <c r="T126" s="5"/>
    </row>
    <row r="127" spans="1:20" x14ac:dyDescent="0.25">
      <c r="A127" s="3" t="s">
        <v>253</v>
      </c>
      <c r="B127" s="3" t="s">
        <v>246</v>
      </c>
      <c r="C127" s="3">
        <v>4</v>
      </c>
      <c r="D127" s="3">
        <v>8</v>
      </c>
      <c r="E127" s="2" t="s">
        <v>426</v>
      </c>
      <c r="F127" s="3">
        <v>4</v>
      </c>
      <c r="G127" s="8" t="s">
        <v>577</v>
      </c>
      <c r="H127" s="4"/>
      <c r="I127" s="4"/>
      <c r="J127" s="4"/>
      <c r="K127" s="4"/>
      <c r="L127" s="3">
        <f t="shared" si="2"/>
        <v>4</v>
      </c>
      <c r="M127" s="4"/>
      <c r="N127" s="4"/>
      <c r="O127" s="4"/>
      <c r="P127" s="4"/>
      <c r="Q127" s="4"/>
      <c r="R127" s="4"/>
      <c r="S127" s="3">
        <f t="shared" si="3"/>
        <v>0</v>
      </c>
      <c r="T127" s="5"/>
    </row>
    <row r="128" spans="1:20" ht="28.5" x14ac:dyDescent="0.25">
      <c r="A128" s="3" t="s">
        <v>253</v>
      </c>
      <c r="B128" s="3" t="s">
        <v>246</v>
      </c>
      <c r="C128" s="3">
        <v>4</v>
      </c>
      <c r="D128" s="3">
        <v>9</v>
      </c>
      <c r="E128" s="2" t="s">
        <v>427</v>
      </c>
      <c r="F128" s="3">
        <v>3</v>
      </c>
      <c r="G128" s="8" t="s">
        <v>578</v>
      </c>
      <c r="H128" s="4"/>
      <c r="I128" s="4">
        <v>1</v>
      </c>
      <c r="J128" s="4"/>
      <c r="K128" s="4"/>
      <c r="L128" s="3">
        <f t="shared" si="2"/>
        <v>2</v>
      </c>
      <c r="M128" s="4"/>
      <c r="N128" s="4"/>
      <c r="O128" s="4"/>
      <c r="P128" s="4"/>
      <c r="Q128" s="4"/>
      <c r="R128" s="4"/>
      <c r="S128" s="3">
        <f t="shared" si="3"/>
        <v>0</v>
      </c>
      <c r="T128" s="5"/>
    </row>
    <row r="129" spans="1:20" x14ac:dyDescent="0.25">
      <c r="A129" s="3" t="s">
        <v>253</v>
      </c>
      <c r="B129" s="3" t="s">
        <v>246</v>
      </c>
      <c r="C129" s="3">
        <v>4</v>
      </c>
      <c r="D129" s="3">
        <v>10</v>
      </c>
      <c r="E129" s="2" t="s">
        <v>428</v>
      </c>
      <c r="F129" s="3">
        <v>8</v>
      </c>
      <c r="G129" s="8" t="s">
        <v>577</v>
      </c>
      <c r="H129" s="4"/>
      <c r="I129" s="4"/>
      <c r="J129" s="4"/>
      <c r="K129" s="4"/>
      <c r="L129" s="3">
        <f t="shared" si="2"/>
        <v>8</v>
      </c>
      <c r="M129" s="4"/>
      <c r="N129" s="4"/>
      <c r="O129" s="4"/>
      <c r="P129" s="4"/>
      <c r="Q129" s="4"/>
      <c r="R129" s="4"/>
      <c r="S129" s="3">
        <f t="shared" si="3"/>
        <v>0</v>
      </c>
      <c r="T129" s="5"/>
    </row>
    <row r="130" spans="1:20" ht="28.5" x14ac:dyDescent="0.25">
      <c r="A130" s="3" t="s">
        <v>253</v>
      </c>
      <c r="B130" s="3" t="s">
        <v>246</v>
      </c>
      <c r="C130" s="3">
        <v>4</v>
      </c>
      <c r="D130" s="3">
        <v>11</v>
      </c>
      <c r="E130" s="2" t="s">
        <v>429</v>
      </c>
      <c r="F130" s="3">
        <v>8</v>
      </c>
      <c r="G130" s="8" t="s">
        <v>577</v>
      </c>
      <c r="H130" s="4"/>
      <c r="I130" s="4"/>
      <c r="J130" s="4"/>
      <c r="K130" s="4"/>
      <c r="L130" s="3">
        <f t="shared" ref="L130:L193" si="4">F130-(H130+I130+J130+K130)</f>
        <v>8</v>
      </c>
      <c r="M130" s="4"/>
      <c r="N130" s="4"/>
      <c r="O130" s="4"/>
      <c r="P130" s="4"/>
      <c r="Q130" s="4"/>
      <c r="R130" s="4"/>
      <c r="S130" s="3">
        <f t="shared" ref="S130:S193" si="5">N130+O130+P130+Q130+R130</f>
        <v>0</v>
      </c>
      <c r="T130" s="5"/>
    </row>
    <row r="131" spans="1:20" ht="28.5" x14ac:dyDescent="0.25">
      <c r="A131" s="3" t="s">
        <v>253</v>
      </c>
      <c r="B131" s="3" t="s">
        <v>246</v>
      </c>
      <c r="C131" s="3">
        <v>4</v>
      </c>
      <c r="D131" s="3">
        <v>12</v>
      </c>
      <c r="E131" s="2" t="s">
        <v>430</v>
      </c>
      <c r="F131" s="3">
        <v>16</v>
      </c>
      <c r="G131" s="8" t="s">
        <v>577</v>
      </c>
      <c r="H131" s="4"/>
      <c r="I131" s="4"/>
      <c r="J131" s="4"/>
      <c r="K131" s="4"/>
      <c r="L131" s="3">
        <f t="shared" si="4"/>
        <v>16</v>
      </c>
      <c r="M131" s="4"/>
      <c r="N131" s="4"/>
      <c r="O131" s="4"/>
      <c r="P131" s="4"/>
      <c r="Q131" s="4"/>
      <c r="R131" s="4"/>
      <c r="S131" s="3">
        <f t="shared" si="5"/>
        <v>0</v>
      </c>
      <c r="T131" s="5"/>
    </row>
    <row r="132" spans="1:20" ht="28.5" x14ac:dyDescent="0.25">
      <c r="A132" s="3" t="s">
        <v>255</v>
      </c>
      <c r="B132" s="3" t="s">
        <v>246</v>
      </c>
      <c r="C132" s="3">
        <v>5</v>
      </c>
      <c r="D132" s="3">
        <v>1</v>
      </c>
      <c r="E132" s="2" t="s">
        <v>431</v>
      </c>
      <c r="F132" s="3">
        <v>2</v>
      </c>
      <c r="G132" s="4" t="s">
        <v>578</v>
      </c>
      <c r="H132" s="4">
        <v>1</v>
      </c>
      <c r="I132" s="4"/>
      <c r="J132" s="4"/>
      <c r="K132" s="4"/>
      <c r="L132" s="3">
        <f t="shared" si="4"/>
        <v>1</v>
      </c>
      <c r="M132" s="4"/>
      <c r="N132" s="4"/>
      <c r="O132" s="4"/>
      <c r="P132" s="4"/>
      <c r="Q132" s="4"/>
      <c r="R132" s="4"/>
      <c r="S132" s="3">
        <f t="shared" si="5"/>
        <v>0</v>
      </c>
      <c r="T132" s="5"/>
    </row>
    <row r="133" spans="1:20" x14ac:dyDescent="0.25">
      <c r="A133" s="3" t="s">
        <v>255</v>
      </c>
      <c r="B133" s="3" t="s">
        <v>246</v>
      </c>
      <c r="C133" s="3">
        <v>5</v>
      </c>
      <c r="D133" s="3">
        <v>2</v>
      </c>
      <c r="E133" s="2" t="s">
        <v>421</v>
      </c>
      <c r="F133" s="3">
        <v>4</v>
      </c>
      <c r="G133" s="4" t="s">
        <v>577</v>
      </c>
      <c r="H133" s="4"/>
      <c r="I133" s="4"/>
      <c r="J133" s="4"/>
      <c r="K133" s="4"/>
      <c r="L133" s="3">
        <f t="shared" si="4"/>
        <v>4</v>
      </c>
      <c r="M133" s="4"/>
      <c r="N133" s="4"/>
      <c r="O133" s="4"/>
      <c r="P133" s="4"/>
      <c r="Q133" s="4"/>
      <c r="R133" s="4"/>
      <c r="S133" s="3">
        <f t="shared" si="5"/>
        <v>0</v>
      </c>
      <c r="T133" s="5"/>
    </row>
    <row r="134" spans="1:20" ht="28.5" x14ac:dyDescent="0.25">
      <c r="A134" s="3" t="s">
        <v>255</v>
      </c>
      <c r="B134" s="3" t="s">
        <v>246</v>
      </c>
      <c r="C134" s="3">
        <v>5</v>
      </c>
      <c r="D134" s="3">
        <v>3</v>
      </c>
      <c r="E134" s="2" t="s">
        <v>432</v>
      </c>
      <c r="F134" s="3">
        <v>4</v>
      </c>
      <c r="G134" s="4" t="s">
        <v>578</v>
      </c>
      <c r="H134" s="4"/>
      <c r="I134" s="4">
        <v>1</v>
      </c>
      <c r="J134" s="4"/>
      <c r="K134" s="4"/>
      <c r="L134" s="3">
        <f t="shared" si="4"/>
        <v>3</v>
      </c>
      <c r="M134" s="4"/>
      <c r="N134" s="4"/>
      <c r="O134" s="4"/>
      <c r="P134" s="4"/>
      <c r="Q134" s="4"/>
      <c r="R134" s="4"/>
      <c r="S134" s="3">
        <f t="shared" si="5"/>
        <v>0</v>
      </c>
      <c r="T134" s="5"/>
    </row>
    <row r="135" spans="1:20" x14ac:dyDescent="0.25">
      <c r="A135" s="3" t="s">
        <v>255</v>
      </c>
      <c r="B135" s="3" t="s">
        <v>246</v>
      </c>
      <c r="C135" s="3">
        <v>5</v>
      </c>
      <c r="D135" s="3">
        <v>4</v>
      </c>
      <c r="E135" s="2" t="s">
        <v>433</v>
      </c>
      <c r="F135" s="3">
        <v>5</v>
      </c>
      <c r="G135" s="4" t="s">
        <v>577</v>
      </c>
      <c r="H135" s="4"/>
      <c r="I135" s="4"/>
      <c r="J135" s="4"/>
      <c r="K135" s="4"/>
      <c r="L135" s="3">
        <f t="shared" si="4"/>
        <v>5</v>
      </c>
      <c r="M135" s="4"/>
      <c r="N135" s="4"/>
      <c r="O135" s="4"/>
      <c r="P135" s="4"/>
      <c r="Q135" s="4"/>
      <c r="R135" s="4"/>
      <c r="S135" s="3">
        <f t="shared" si="5"/>
        <v>0</v>
      </c>
      <c r="T135" s="5"/>
    </row>
    <row r="136" spans="1:20" x14ac:dyDescent="0.25">
      <c r="A136" s="3" t="s">
        <v>255</v>
      </c>
      <c r="B136" s="3" t="s">
        <v>246</v>
      </c>
      <c r="C136" s="3">
        <v>5</v>
      </c>
      <c r="D136" s="3">
        <v>5</v>
      </c>
      <c r="E136" s="2" t="s">
        <v>380</v>
      </c>
      <c r="F136" s="3">
        <v>4</v>
      </c>
      <c r="G136" s="4" t="s">
        <v>577</v>
      </c>
      <c r="H136" s="4"/>
      <c r="I136" s="4"/>
      <c r="J136" s="4"/>
      <c r="K136" s="4"/>
      <c r="L136" s="3">
        <f t="shared" si="4"/>
        <v>4</v>
      </c>
      <c r="M136" s="4"/>
      <c r="N136" s="4"/>
      <c r="O136" s="4"/>
      <c r="P136" s="4"/>
      <c r="Q136" s="4"/>
      <c r="R136" s="4"/>
      <c r="S136" s="3">
        <f t="shared" si="5"/>
        <v>0</v>
      </c>
      <c r="T136" s="5"/>
    </row>
    <row r="137" spans="1:20" x14ac:dyDescent="0.25">
      <c r="A137" s="3" t="s">
        <v>255</v>
      </c>
      <c r="B137" s="3" t="s">
        <v>246</v>
      </c>
      <c r="C137" s="3">
        <v>5</v>
      </c>
      <c r="D137" s="3">
        <v>6</v>
      </c>
      <c r="E137" s="2" t="s">
        <v>434</v>
      </c>
      <c r="F137" s="3">
        <v>2</v>
      </c>
      <c r="G137" s="4" t="s">
        <v>577</v>
      </c>
      <c r="H137" s="4"/>
      <c r="I137" s="4"/>
      <c r="J137" s="4"/>
      <c r="K137" s="4"/>
      <c r="L137" s="3">
        <f t="shared" si="4"/>
        <v>2</v>
      </c>
      <c r="M137" s="4"/>
      <c r="N137" s="4"/>
      <c r="O137" s="4"/>
      <c r="P137" s="4"/>
      <c r="Q137" s="4"/>
      <c r="R137" s="4"/>
      <c r="S137" s="3">
        <f t="shared" si="5"/>
        <v>0</v>
      </c>
      <c r="T137" s="5"/>
    </row>
    <row r="138" spans="1:20" x14ac:dyDescent="0.25">
      <c r="A138" s="3" t="s">
        <v>255</v>
      </c>
      <c r="B138" s="3" t="s">
        <v>246</v>
      </c>
      <c r="C138" s="3">
        <v>5</v>
      </c>
      <c r="D138" s="3">
        <v>7</v>
      </c>
      <c r="E138" s="2" t="s">
        <v>382</v>
      </c>
      <c r="F138" s="3">
        <v>3</v>
      </c>
      <c r="G138" s="4" t="s">
        <v>577</v>
      </c>
      <c r="H138" s="4"/>
      <c r="I138" s="4"/>
      <c r="J138" s="4"/>
      <c r="K138" s="4"/>
      <c r="L138" s="3">
        <f t="shared" si="4"/>
        <v>3</v>
      </c>
      <c r="M138" s="4"/>
      <c r="N138" s="4"/>
      <c r="O138" s="4"/>
      <c r="P138" s="4"/>
      <c r="Q138" s="4"/>
      <c r="R138" s="4"/>
      <c r="S138" s="3">
        <f t="shared" si="5"/>
        <v>0</v>
      </c>
      <c r="T138" s="5"/>
    </row>
    <row r="139" spans="1:20" x14ac:dyDescent="0.25">
      <c r="A139" s="3" t="s">
        <v>255</v>
      </c>
      <c r="B139" s="3" t="s">
        <v>246</v>
      </c>
      <c r="C139" s="3">
        <v>5</v>
      </c>
      <c r="D139" s="3">
        <v>8</v>
      </c>
      <c r="E139" s="2" t="s">
        <v>435</v>
      </c>
      <c r="F139" s="3">
        <v>4</v>
      </c>
      <c r="G139" s="4" t="s">
        <v>577</v>
      </c>
      <c r="H139" s="4"/>
      <c r="I139" s="4"/>
      <c r="J139" s="4"/>
      <c r="K139" s="4"/>
      <c r="L139" s="3">
        <f t="shared" si="4"/>
        <v>4</v>
      </c>
      <c r="M139" s="4"/>
      <c r="N139" s="4"/>
      <c r="O139" s="4"/>
      <c r="P139" s="4"/>
      <c r="Q139" s="4"/>
      <c r="R139" s="4"/>
      <c r="S139" s="3">
        <f t="shared" si="5"/>
        <v>0</v>
      </c>
      <c r="T139" s="5"/>
    </row>
    <row r="140" spans="1:20" x14ac:dyDescent="0.25">
      <c r="A140" s="3" t="s">
        <v>255</v>
      </c>
      <c r="B140" s="3" t="s">
        <v>246</v>
      </c>
      <c r="C140" s="3">
        <v>5</v>
      </c>
      <c r="D140" s="3">
        <v>9</v>
      </c>
      <c r="E140" s="2" t="s">
        <v>436</v>
      </c>
      <c r="F140" s="3">
        <v>4</v>
      </c>
      <c r="G140" s="4" t="s">
        <v>577</v>
      </c>
      <c r="H140" s="4"/>
      <c r="I140" s="4"/>
      <c r="J140" s="4"/>
      <c r="K140" s="4"/>
      <c r="L140" s="3">
        <f t="shared" si="4"/>
        <v>4</v>
      </c>
      <c r="M140" s="4"/>
      <c r="N140" s="4"/>
      <c r="O140" s="4"/>
      <c r="P140" s="4"/>
      <c r="Q140" s="4"/>
      <c r="R140" s="4"/>
      <c r="S140" s="3">
        <f t="shared" si="5"/>
        <v>0</v>
      </c>
      <c r="T140" s="5"/>
    </row>
    <row r="141" spans="1:20" x14ac:dyDescent="0.25">
      <c r="A141" s="3" t="s">
        <v>255</v>
      </c>
      <c r="B141" s="3" t="s">
        <v>246</v>
      </c>
      <c r="C141" s="3">
        <v>5</v>
      </c>
      <c r="D141" s="3">
        <v>10</v>
      </c>
      <c r="E141" s="2" t="s">
        <v>437</v>
      </c>
      <c r="F141" s="3">
        <v>9</v>
      </c>
      <c r="G141" s="4" t="s">
        <v>577</v>
      </c>
      <c r="H141" s="4"/>
      <c r="I141" s="4"/>
      <c r="J141" s="4"/>
      <c r="K141" s="4"/>
      <c r="L141" s="3">
        <f t="shared" si="4"/>
        <v>9</v>
      </c>
      <c r="M141" s="4"/>
      <c r="N141" s="4"/>
      <c r="O141" s="4"/>
      <c r="P141" s="4"/>
      <c r="Q141" s="4"/>
      <c r="R141" s="4"/>
      <c r="S141" s="3">
        <f t="shared" si="5"/>
        <v>0</v>
      </c>
      <c r="T141" s="5"/>
    </row>
    <row r="142" spans="1:20" ht="28.5" x14ac:dyDescent="0.25">
      <c r="A142" s="3" t="s">
        <v>255</v>
      </c>
      <c r="B142" s="3" t="s">
        <v>246</v>
      </c>
      <c r="C142" s="3">
        <v>5</v>
      </c>
      <c r="D142" s="3">
        <v>11</v>
      </c>
      <c r="E142" s="2" t="s">
        <v>438</v>
      </c>
      <c r="F142" s="3">
        <v>7</v>
      </c>
      <c r="G142" s="4" t="s">
        <v>578</v>
      </c>
      <c r="H142" s="4">
        <v>2</v>
      </c>
      <c r="I142" s="4">
        <v>1</v>
      </c>
      <c r="J142" s="4"/>
      <c r="K142" s="4"/>
      <c r="L142" s="3">
        <f t="shared" si="4"/>
        <v>4</v>
      </c>
      <c r="M142" s="4"/>
      <c r="N142" s="4"/>
      <c r="O142" s="4"/>
      <c r="P142" s="4"/>
      <c r="Q142" s="4"/>
      <c r="R142" s="4"/>
      <c r="S142" s="3">
        <f t="shared" si="5"/>
        <v>0</v>
      </c>
      <c r="T142" s="5"/>
    </row>
    <row r="143" spans="1:20" ht="28.5" x14ac:dyDescent="0.25">
      <c r="A143" s="3" t="s">
        <v>255</v>
      </c>
      <c r="B143" s="3" t="s">
        <v>246</v>
      </c>
      <c r="C143" s="3">
        <v>5</v>
      </c>
      <c r="D143" s="3">
        <v>12</v>
      </c>
      <c r="E143" s="2" t="s">
        <v>439</v>
      </c>
      <c r="F143" s="3">
        <v>18</v>
      </c>
      <c r="G143" s="4" t="s">
        <v>577</v>
      </c>
      <c r="H143" s="4"/>
      <c r="I143" s="4"/>
      <c r="J143" s="4"/>
      <c r="K143" s="4"/>
      <c r="L143" s="3">
        <f t="shared" si="4"/>
        <v>18</v>
      </c>
      <c r="M143" s="4"/>
      <c r="N143" s="4"/>
      <c r="O143" s="4"/>
      <c r="P143" s="4"/>
      <c r="Q143" s="4"/>
      <c r="R143" s="4"/>
      <c r="S143" s="3">
        <f t="shared" si="5"/>
        <v>0</v>
      </c>
      <c r="T143" s="5"/>
    </row>
    <row r="144" spans="1:20" x14ac:dyDescent="0.25">
      <c r="A144" s="3" t="s">
        <v>257</v>
      </c>
      <c r="B144" s="3" t="s">
        <v>258</v>
      </c>
      <c r="C144" s="3">
        <v>1</v>
      </c>
      <c r="D144" s="3">
        <v>1</v>
      </c>
      <c r="E144" s="2" t="s">
        <v>440</v>
      </c>
      <c r="F144" s="3">
        <v>3</v>
      </c>
      <c r="G144" s="4" t="s">
        <v>577</v>
      </c>
      <c r="H144" s="4"/>
      <c r="I144" s="4"/>
      <c r="J144" s="4"/>
      <c r="K144" s="4"/>
      <c r="L144" s="3">
        <f t="shared" si="4"/>
        <v>3</v>
      </c>
      <c r="M144" s="4"/>
      <c r="N144" s="4"/>
      <c r="O144" s="4"/>
      <c r="P144" s="4"/>
      <c r="Q144" s="4"/>
      <c r="R144" s="4"/>
      <c r="S144" s="3">
        <f t="shared" si="5"/>
        <v>0</v>
      </c>
      <c r="T144" s="5"/>
    </row>
    <row r="145" spans="1:20" x14ac:dyDescent="0.25">
      <c r="A145" s="3" t="s">
        <v>257</v>
      </c>
      <c r="B145" s="3" t="s">
        <v>258</v>
      </c>
      <c r="C145" s="3">
        <v>1</v>
      </c>
      <c r="D145" s="3">
        <v>2</v>
      </c>
      <c r="E145" s="2" t="s">
        <v>441</v>
      </c>
      <c r="F145" s="3">
        <v>4</v>
      </c>
      <c r="G145" s="4" t="s">
        <v>577</v>
      </c>
      <c r="H145" s="4"/>
      <c r="I145" s="4"/>
      <c r="J145" s="4"/>
      <c r="K145" s="4"/>
      <c r="L145" s="3">
        <f t="shared" si="4"/>
        <v>4</v>
      </c>
      <c r="M145" s="4"/>
      <c r="N145" s="4"/>
      <c r="O145" s="4"/>
      <c r="P145" s="4"/>
      <c r="Q145" s="4"/>
      <c r="R145" s="4"/>
      <c r="S145" s="3">
        <f t="shared" si="5"/>
        <v>0</v>
      </c>
      <c r="T145" s="5"/>
    </row>
    <row r="146" spans="1:20" x14ac:dyDescent="0.25">
      <c r="A146" s="3" t="s">
        <v>257</v>
      </c>
      <c r="B146" s="3" t="s">
        <v>258</v>
      </c>
      <c r="C146" s="3">
        <v>1</v>
      </c>
      <c r="D146" s="3">
        <v>3</v>
      </c>
      <c r="E146" s="2" t="s">
        <v>442</v>
      </c>
      <c r="F146" s="3">
        <v>3</v>
      </c>
      <c r="G146" s="4" t="s">
        <v>577</v>
      </c>
      <c r="H146" s="4"/>
      <c r="I146" s="4"/>
      <c r="J146" s="4"/>
      <c r="K146" s="4"/>
      <c r="L146" s="3">
        <f t="shared" si="4"/>
        <v>3</v>
      </c>
      <c r="M146" s="4"/>
      <c r="N146" s="4"/>
      <c r="O146" s="4"/>
      <c r="P146" s="4"/>
      <c r="Q146" s="4"/>
      <c r="R146" s="4"/>
      <c r="S146" s="3">
        <f t="shared" si="5"/>
        <v>0</v>
      </c>
      <c r="T146" s="5"/>
    </row>
    <row r="147" spans="1:20" x14ac:dyDescent="0.25">
      <c r="A147" s="3" t="s">
        <v>257</v>
      </c>
      <c r="B147" s="3" t="s">
        <v>258</v>
      </c>
      <c r="C147" s="3">
        <v>1</v>
      </c>
      <c r="D147" s="3">
        <v>4</v>
      </c>
      <c r="E147" s="2" t="s">
        <v>443</v>
      </c>
      <c r="F147" s="3">
        <v>4</v>
      </c>
      <c r="G147" s="4" t="s">
        <v>577</v>
      </c>
      <c r="H147" s="4"/>
      <c r="I147" s="4"/>
      <c r="J147" s="4"/>
      <c r="K147" s="4"/>
      <c r="L147" s="3">
        <f t="shared" si="4"/>
        <v>4</v>
      </c>
      <c r="M147" s="4"/>
      <c r="N147" s="4"/>
      <c r="O147" s="4"/>
      <c r="P147" s="4"/>
      <c r="Q147" s="4"/>
      <c r="R147" s="4"/>
      <c r="S147" s="3">
        <f t="shared" si="5"/>
        <v>0</v>
      </c>
      <c r="T147" s="5"/>
    </row>
    <row r="148" spans="1:20" x14ac:dyDescent="0.25">
      <c r="A148" s="3" t="s">
        <v>257</v>
      </c>
      <c r="B148" s="3" t="s">
        <v>258</v>
      </c>
      <c r="C148" s="3">
        <v>1</v>
      </c>
      <c r="D148" s="3">
        <v>5</v>
      </c>
      <c r="E148" s="2" t="s">
        <v>444</v>
      </c>
      <c r="F148" s="3">
        <v>2</v>
      </c>
      <c r="G148" s="4" t="s">
        <v>577</v>
      </c>
      <c r="H148" s="4"/>
      <c r="I148" s="4"/>
      <c r="J148" s="4"/>
      <c r="K148" s="4"/>
      <c r="L148" s="3">
        <f t="shared" si="4"/>
        <v>2</v>
      </c>
      <c r="M148" s="4"/>
      <c r="N148" s="4"/>
      <c r="O148" s="4"/>
      <c r="P148" s="4"/>
      <c r="Q148" s="4"/>
      <c r="R148" s="4"/>
      <c r="S148" s="3">
        <f t="shared" si="5"/>
        <v>0</v>
      </c>
      <c r="T148" s="5"/>
    </row>
    <row r="149" spans="1:20" x14ac:dyDescent="0.25">
      <c r="A149" s="3" t="s">
        <v>257</v>
      </c>
      <c r="B149" s="3" t="s">
        <v>258</v>
      </c>
      <c r="C149" s="3">
        <v>1</v>
      </c>
      <c r="D149" s="3">
        <v>6</v>
      </c>
      <c r="E149" s="2" t="s">
        <v>445</v>
      </c>
      <c r="F149" s="3">
        <v>3</v>
      </c>
      <c r="G149" s="4" t="s">
        <v>577</v>
      </c>
      <c r="H149" s="4"/>
      <c r="I149" s="4"/>
      <c r="J149" s="4"/>
      <c r="K149" s="4"/>
      <c r="L149" s="3">
        <f t="shared" si="4"/>
        <v>3</v>
      </c>
      <c r="M149" s="4"/>
      <c r="N149" s="4"/>
      <c r="O149" s="4"/>
      <c r="P149" s="4"/>
      <c r="Q149" s="4"/>
      <c r="R149" s="4"/>
      <c r="S149" s="3">
        <f t="shared" si="5"/>
        <v>0</v>
      </c>
      <c r="T149" s="5"/>
    </row>
    <row r="150" spans="1:20" x14ac:dyDescent="0.25">
      <c r="A150" s="3" t="s">
        <v>257</v>
      </c>
      <c r="B150" s="3" t="s">
        <v>258</v>
      </c>
      <c r="C150" s="3">
        <v>1</v>
      </c>
      <c r="D150" s="3">
        <v>7</v>
      </c>
      <c r="E150" s="2" t="s">
        <v>446</v>
      </c>
      <c r="F150" s="3">
        <v>3</v>
      </c>
      <c r="G150" s="4" t="s">
        <v>577</v>
      </c>
      <c r="H150" s="4"/>
      <c r="I150" s="4"/>
      <c r="J150" s="4"/>
      <c r="K150" s="4"/>
      <c r="L150" s="3">
        <f t="shared" si="4"/>
        <v>3</v>
      </c>
      <c r="M150" s="4"/>
      <c r="N150" s="4"/>
      <c r="O150" s="4"/>
      <c r="P150" s="4"/>
      <c r="Q150" s="4"/>
      <c r="R150" s="4"/>
      <c r="S150" s="3">
        <f t="shared" si="5"/>
        <v>0</v>
      </c>
      <c r="T150" s="5"/>
    </row>
    <row r="151" spans="1:20" x14ac:dyDescent="0.25">
      <c r="A151" s="3" t="s">
        <v>257</v>
      </c>
      <c r="B151" s="3" t="s">
        <v>258</v>
      </c>
      <c r="C151" s="3">
        <v>1</v>
      </c>
      <c r="D151" s="3">
        <v>8</v>
      </c>
      <c r="E151" s="2" t="s">
        <v>447</v>
      </c>
      <c r="F151" s="3">
        <v>4</v>
      </c>
      <c r="G151" s="4" t="s">
        <v>577</v>
      </c>
      <c r="H151" s="4"/>
      <c r="I151" s="4"/>
      <c r="J151" s="4"/>
      <c r="K151" s="4"/>
      <c r="L151" s="3">
        <f t="shared" si="4"/>
        <v>4</v>
      </c>
      <c r="M151" s="4"/>
      <c r="N151" s="4"/>
      <c r="O151" s="4"/>
      <c r="P151" s="4"/>
      <c r="Q151" s="4"/>
      <c r="R151" s="4"/>
      <c r="S151" s="3">
        <f t="shared" si="5"/>
        <v>0</v>
      </c>
      <c r="T151" s="5"/>
    </row>
    <row r="152" spans="1:20" ht="28.5" x14ac:dyDescent="0.25">
      <c r="A152" s="3" t="s">
        <v>257</v>
      </c>
      <c r="B152" s="3" t="s">
        <v>258</v>
      </c>
      <c r="C152" s="3">
        <v>1</v>
      </c>
      <c r="D152" s="3">
        <v>9</v>
      </c>
      <c r="E152" s="2" t="s">
        <v>448</v>
      </c>
      <c r="F152" s="3">
        <v>8</v>
      </c>
      <c r="G152" s="4" t="s">
        <v>578</v>
      </c>
      <c r="H152" s="4">
        <v>3</v>
      </c>
      <c r="I152" s="4"/>
      <c r="J152" s="4"/>
      <c r="K152" s="4">
        <v>1</v>
      </c>
      <c r="L152" s="3">
        <f t="shared" si="4"/>
        <v>4</v>
      </c>
      <c r="M152" s="4"/>
      <c r="N152" s="4">
        <v>1</v>
      </c>
      <c r="O152" s="4"/>
      <c r="P152" s="4"/>
      <c r="Q152" s="4"/>
      <c r="R152" s="4"/>
      <c r="S152" s="3">
        <f t="shared" si="5"/>
        <v>1</v>
      </c>
      <c r="T152" s="5"/>
    </row>
    <row r="153" spans="1:20" ht="228" x14ac:dyDescent="0.25">
      <c r="A153" s="3" t="s">
        <v>257</v>
      </c>
      <c r="B153" s="3" t="s">
        <v>258</v>
      </c>
      <c r="C153" s="3">
        <v>1</v>
      </c>
      <c r="D153" s="3">
        <v>10</v>
      </c>
      <c r="E153" s="2" t="s">
        <v>449</v>
      </c>
      <c r="F153" s="3">
        <v>7</v>
      </c>
      <c r="G153" s="4" t="s">
        <v>577</v>
      </c>
      <c r="H153" s="4"/>
      <c r="I153" s="4"/>
      <c r="J153" s="4"/>
      <c r="K153" s="4"/>
      <c r="L153" s="3">
        <f t="shared" si="4"/>
        <v>7</v>
      </c>
      <c r="M153" s="4"/>
      <c r="N153" s="4"/>
      <c r="O153" s="4"/>
      <c r="P153" s="4"/>
      <c r="Q153" s="4"/>
      <c r="R153" s="4"/>
      <c r="S153" s="3">
        <f t="shared" si="5"/>
        <v>0</v>
      </c>
      <c r="T153" s="7" t="s">
        <v>580</v>
      </c>
    </row>
    <row r="154" spans="1:20" ht="28.5" x14ac:dyDescent="0.25">
      <c r="A154" s="3" t="s">
        <v>257</v>
      </c>
      <c r="B154" s="3" t="s">
        <v>258</v>
      </c>
      <c r="C154" s="3">
        <v>1</v>
      </c>
      <c r="D154" s="3">
        <v>11</v>
      </c>
      <c r="E154" s="2" t="s">
        <v>450</v>
      </c>
      <c r="F154" s="3">
        <v>11</v>
      </c>
      <c r="G154" s="4" t="s">
        <v>577</v>
      </c>
      <c r="H154" s="4"/>
      <c r="I154" s="4"/>
      <c r="J154" s="4"/>
      <c r="K154" s="4"/>
      <c r="L154" s="3">
        <f t="shared" si="4"/>
        <v>11</v>
      </c>
      <c r="M154" s="4"/>
      <c r="N154" s="4"/>
      <c r="O154" s="4"/>
      <c r="P154" s="4"/>
      <c r="Q154" s="4"/>
      <c r="R154" s="4"/>
      <c r="S154" s="3">
        <f t="shared" si="5"/>
        <v>0</v>
      </c>
      <c r="T154" s="5"/>
    </row>
    <row r="155" spans="1:20" x14ac:dyDescent="0.25">
      <c r="A155" s="3" t="s">
        <v>261</v>
      </c>
      <c r="B155" s="3" t="s">
        <v>258</v>
      </c>
      <c r="C155" s="3">
        <v>2</v>
      </c>
      <c r="D155" s="3">
        <v>1</v>
      </c>
      <c r="E155" s="2" t="s">
        <v>451</v>
      </c>
      <c r="F155" s="3">
        <v>3</v>
      </c>
      <c r="G155" s="4" t="s">
        <v>577</v>
      </c>
      <c r="H155" s="4"/>
      <c r="I155" s="4"/>
      <c r="J155" s="4"/>
      <c r="K155" s="4"/>
      <c r="L155" s="3">
        <f t="shared" si="4"/>
        <v>3</v>
      </c>
      <c r="M155" s="4"/>
      <c r="N155" s="4"/>
      <c r="O155" s="4"/>
      <c r="P155" s="4"/>
      <c r="Q155" s="4"/>
      <c r="R155" s="4"/>
      <c r="S155" s="3">
        <f t="shared" si="5"/>
        <v>0</v>
      </c>
      <c r="T155" s="5"/>
    </row>
    <row r="156" spans="1:20" ht="28.5" x14ac:dyDescent="0.25">
      <c r="A156" s="3" t="s">
        <v>261</v>
      </c>
      <c r="B156" s="3" t="s">
        <v>258</v>
      </c>
      <c r="C156" s="3">
        <v>2</v>
      </c>
      <c r="D156" s="3">
        <v>2</v>
      </c>
      <c r="E156" s="2" t="s">
        <v>452</v>
      </c>
      <c r="F156" s="3">
        <v>3</v>
      </c>
      <c r="G156" s="4" t="s">
        <v>578</v>
      </c>
      <c r="H156" s="4">
        <v>2</v>
      </c>
      <c r="I156" s="4"/>
      <c r="J156" s="4"/>
      <c r="K156" s="4"/>
      <c r="L156" s="3">
        <f t="shared" si="4"/>
        <v>1</v>
      </c>
      <c r="M156" s="4"/>
      <c r="N156" s="4"/>
      <c r="O156" s="4"/>
      <c r="P156" s="4"/>
      <c r="Q156" s="4"/>
      <c r="R156" s="4"/>
      <c r="S156" s="3">
        <f t="shared" si="5"/>
        <v>0</v>
      </c>
      <c r="T156" s="5"/>
    </row>
    <row r="157" spans="1:20" ht="28.5" x14ac:dyDescent="0.25">
      <c r="A157" s="3" t="s">
        <v>261</v>
      </c>
      <c r="B157" s="3" t="s">
        <v>258</v>
      </c>
      <c r="C157" s="3">
        <v>2</v>
      </c>
      <c r="D157" s="3">
        <v>3</v>
      </c>
      <c r="E157" s="2" t="s">
        <v>453</v>
      </c>
      <c r="F157" s="3">
        <v>4</v>
      </c>
      <c r="G157" s="4" t="s">
        <v>578</v>
      </c>
      <c r="H157" s="4">
        <v>1</v>
      </c>
      <c r="I157" s="4"/>
      <c r="J157" s="4"/>
      <c r="K157" s="4"/>
      <c r="L157" s="3">
        <f t="shared" si="4"/>
        <v>3</v>
      </c>
      <c r="M157" s="4"/>
      <c r="N157" s="4"/>
      <c r="O157" s="4"/>
      <c r="P157" s="4"/>
      <c r="Q157" s="4"/>
      <c r="R157" s="4"/>
      <c r="S157" s="3">
        <f t="shared" si="5"/>
        <v>0</v>
      </c>
      <c r="T157" s="5"/>
    </row>
    <row r="158" spans="1:20" x14ac:dyDescent="0.25">
      <c r="A158" s="3" t="s">
        <v>261</v>
      </c>
      <c r="B158" s="3" t="s">
        <v>258</v>
      </c>
      <c r="C158" s="3">
        <v>2</v>
      </c>
      <c r="D158" s="3">
        <v>4</v>
      </c>
      <c r="E158" s="2" t="s">
        <v>442</v>
      </c>
      <c r="F158" s="3">
        <v>3</v>
      </c>
      <c r="G158" s="4" t="s">
        <v>577</v>
      </c>
      <c r="H158" s="4"/>
      <c r="I158" s="4"/>
      <c r="J158" s="4"/>
      <c r="K158" s="4"/>
      <c r="L158" s="3">
        <f t="shared" si="4"/>
        <v>3</v>
      </c>
      <c r="M158" s="4"/>
      <c r="N158" s="4"/>
      <c r="O158" s="4"/>
      <c r="P158" s="4"/>
      <c r="Q158" s="4"/>
      <c r="R158" s="4"/>
      <c r="S158" s="3">
        <f t="shared" si="5"/>
        <v>0</v>
      </c>
      <c r="T158" s="5"/>
    </row>
    <row r="159" spans="1:20" x14ac:dyDescent="0.25">
      <c r="A159" s="3" t="s">
        <v>261</v>
      </c>
      <c r="B159" s="3" t="s">
        <v>258</v>
      </c>
      <c r="C159" s="3">
        <v>2</v>
      </c>
      <c r="D159" s="3">
        <v>5</v>
      </c>
      <c r="E159" s="2" t="s">
        <v>443</v>
      </c>
      <c r="F159" s="3">
        <v>4</v>
      </c>
      <c r="G159" s="4" t="s">
        <v>577</v>
      </c>
      <c r="H159" s="4"/>
      <c r="I159" s="4"/>
      <c r="J159" s="4"/>
      <c r="K159" s="4"/>
      <c r="L159" s="3">
        <f t="shared" si="4"/>
        <v>4</v>
      </c>
      <c r="M159" s="4"/>
      <c r="N159" s="4"/>
      <c r="O159" s="4"/>
      <c r="P159" s="4"/>
      <c r="Q159" s="4"/>
      <c r="R159" s="4"/>
      <c r="S159" s="3">
        <f t="shared" si="5"/>
        <v>0</v>
      </c>
      <c r="T159" s="5"/>
    </row>
    <row r="160" spans="1:20" x14ac:dyDescent="0.25">
      <c r="A160" s="3" t="s">
        <v>261</v>
      </c>
      <c r="B160" s="3" t="s">
        <v>258</v>
      </c>
      <c r="C160" s="3">
        <v>2</v>
      </c>
      <c r="D160" s="3">
        <v>6</v>
      </c>
      <c r="E160" s="2" t="s">
        <v>454</v>
      </c>
      <c r="F160" s="3">
        <v>3</v>
      </c>
      <c r="G160" s="4" t="s">
        <v>577</v>
      </c>
      <c r="H160" s="4"/>
      <c r="I160" s="4"/>
      <c r="J160" s="4"/>
      <c r="K160" s="4"/>
      <c r="L160" s="3">
        <f t="shared" si="4"/>
        <v>3</v>
      </c>
      <c r="M160" s="4"/>
      <c r="N160" s="4"/>
      <c r="O160" s="4"/>
      <c r="P160" s="4"/>
      <c r="Q160" s="4"/>
      <c r="R160" s="4"/>
      <c r="S160" s="3">
        <f t="shared" si="5"/>
        <v>0</v>
      </c>
      <c r="T160" s="5"/>
    </row>
    <row r="161" spans="1:20" x14ac:dyDescent="0.25">
      <c r="A161" s="3" t="s">
        <v>261</v>
      </c>
      <c r="B161" s="3" t="s">
        <v>258</v>
      </c>
      <c r="C161" s="3">
        <v>2</v>
      </c>
      <c r="D161" s="3">
        <v>7</v>
      </c>
      <c r="E161" s="2" t="s">
        <v>445</v>
      </c>
      <c r="F161" s="3">
        <v>3</v>
      </c>
      <c r="G161" s="4" t="s">
        <v>577</v>
      </c>
      <c r="H161" s="4"/>
      <c r="I161" s="4"/>
      <c r="J161" s="4"/>
      <c r="K161" s="4"/>
      <c r="L161" s="3">
        <f t="shared" si="4"/>
        <v>3</v>
      </c>
      <c r="M161" s="4"/>
      <c r="N161" s="4"/>
      <c r="O161" s="4"/>
      <c r="P161" s="4"/>
      <c r="Q161" s="4"/>
      <c r="R161" s="4"/>
      <c r="S161" s="3">
        <f t="shared" si="5"/>
        <v>0</v>
      </c>
      <c r="T161" s="5"/>
    </row>
    <row r="162" spans="1:20" ht="28.5" x14ac:dyDescent="0.25">
      <c r="A162" s="3" t="s">
        <v>261</v>
      </c>
      <c r="B162" s="3" t="s">
        <v>258</v>
      </c>
      <c r="C162" s="3">
        <v>2</v>
      </c>
      <c r="D162" s="3">
        <v>8</v>
      </c>
      <c r="E162" s="2" t="s">
        <v>455</v>
      </c>
      <c r="F162" s="3">
        <v>2</v>
      </c>
      <c r="G162" s="4" t="s">
        <v>578</v>
      </c>
      <c r="H162" s="4"/>
      <c r="I162" s="4">
        <v>1</v>
      </c>
      <c r="J162" s="4"/>
      <c r="K162" s="4"/>
      <c r="L162" s="3">
        <f t="shared" si="4"/>
        <v>1</v>
      </c>
      <c r="M162" s="4"/>
      <c r="N162" s="4"/>
      <c r="O162" s="4"/>
      <c r="P162" s="4"/>
      <c r="Q162" s="4"/>
      <c r="R162" s="4"/>
      <c r="S162" s="3">
        <f t="shared" si="5"/>
        <v>0</v>
      </c>
      <c r="T162" s="5"/>
    </row>
    <row r="163" spans="1:20" ht="28.5" x14ac:dyDescent="0.25">
      <c r="A163" s="3" t="s">
        <v>261</v>
      </c>
      <c r="B163" s="3" t="s">
        <v>258</v>
      </c>
      <c r="C163" s="3">
        <v>2</v>
      </c>
      <c r="D163" s="3">
        <v>9</v>
      </c>
      <c r="E163" s="2" t="s">
        <v>456</v>
      </c>
      <c r="F163" s="3">
        <v>3</v>
      </c>
      <c r="G163" s="4" t="s">
        <v>578</v>
      </c>
      <c r="H163" s="4">
        <v>1</v>
      </c>
      <c r="I163" s="4"/>
      <c r="J163" s="4"/>
      <c r="K163" s="4"/>
      <c r="L163" s="3">
        <f t="shared" si="4"/>
        <v>2</v>
      </c>
      <c r="M163" s="4"/>
      <c r="N163" s="4"/>
      <c r="O163" s="4"/>
      <c r="P163" s="4"/>
      <c r="Q163" s="4"/>
      <c r="R163" s="4"/>
      <c r="S163" s="3">
        <f t="shared" si="5"/>
        <v>0</v>
      </c>
      <c r="T163" s="5"/>
    </row>
    <row r="164" spans="1:20" ht="28.5" x14ac:dyDescent="0.25">
      <c r="A164" s="3" t="s">
        <v>261</v>
      </c>
      <c r="B164" s="3" t="s">
        <v>258</v>
      </c>
      <c r="C164" s="3">
        <v>2</v>
      </c>
      <c r="D164" s="3">
        <v>10</v>
      </c>
      <c r="E164" s="2" t="s">
        <v>457</v>
      </c>
      <c r="F164" s="3">
        <v>11</v>
      </c>
      <c r="G164" s="4" t="s">
        <v>578</v>
      </c>
      <c r="H164" s="4">
        <v>3</v>
      </c>
      <c r="I164" s="4"/>
      <c r="J164" s="4"/>
      <c r="K164" s="4"/>
      <c r="L164" s="3">
        <f t="shared" si="4"/>
        <v>8</v>
      </c>
      <c r="M164" s="4"/>
      <c r="N164" s="4"/>
      <c r="O164" s="4"/>
      <c r="P164" s="4"/>
      <c r="Q164" s="4"/>
      <c r="R164" s="4"/>
      <c r="S164" s="3">
        <f t="shared" si="5"/>
        <v>0</v>
      </c>
      <c r="T164" s="5"/>
    </row>
    <row r="165" spans="1:20" ht="28.5" x14ac:dyDescent="0.25">
      <c r="A165" s="3" t="s">
        <v>261</v>
      </c>
      <c r="B165" s="3" t="s">
        <v>258</v>
      </c>
      <c r="C165" s="3">
        <v>2</v>
      </c>
      <c r="D165" s="3">
        <v>11</v>
      </c>
      <c r="E165" s="2" t="s">
        <v>458</v>
      </c>
      <c r="F165" s="3">
        <v>8</v>
      </c>
      <c r="G165" s="4" t="s">
        <v>578</v>
      </c>
      <c r="H165" s="4"/>
      <c r="I165" s="4"/>
      <c r="J165" s="4">
        <v>1</v>
      </c>
      <c r="K165" s="4"/>
      <c r="L165" s="3">
        <f t="shared" si="4"/>
        <v>7</v>
      </c>
      <c r="M165" s="4"/>
      <c r="N165" s="4"/>
      <c r="O165" s="4"/>
      <c r="P165" s="4"/>
      <c r="Q165" s="4"/>
      <c r="R165" s="4"/>
      <c r="S165" s="3">
        <f t="shared" si="5"/>
        <v>0</v>
      </c>
      <c r="T165" s="5"/>
    </row>
    <row r="166" spans="1:20" ht="28.5" x14ac:dyDescent="0.25">
      <c r="A166" s="3" t="s">
        <v>261</v>
      </c>
      <c r="B166" s="3" t="s">
        <v>258</v>
      </c>
      <c r="C166" s="3">
        <v>2</v>
      </c>
      <c r="D166" s="3">
        <v>12</v>
      </c>
      <c r="E166" s="2" t="s">
        <v>459</v>
      </c>
      <c r="F166" s="3">
        <v>13</v>
      </c>
      <c r="G166" s="4" t="s">
        <v>578</v>
      </c>
      <c r="H166" s="4">
        <v>1</v>
      </c>
      <c r="I166" s="4"/>
      <c r="J166" s="4">
        <v>2</v>
      </c>
      <c r="K166" s="4"/>
      <c r="L166" s="3">
        <f t="shared" si="4"/>
        <v>10</v>
      </c>
      <c r="M166" s="4"/>
      <c r="N166" s="4"/>
      <c r="O166" s="4"/>
      <c r="P166" s="4"/>
      <c r="Q166" s="4"/>
      <c r="R166" s="4"/>
      <c r="S166" s="3">
        <f t="shared" si="5"/>
        <v>0</v>
      </c>
      <c r="T166" s="5"/>
    </row>
    <row r="167" spans="1:20" x14ac:dyDescent="0.25">
      <c r="A167" s="3" t="s">
        <v>261</v>
      </c>
      <c r="B167" s="3" t="s">
        <v>258</v>
      </c>
      <c r="C167" s="3">
        <v>2</v>
      </c>
      <c r="D167" s="3">
        <v>13</v>
      </c>
      <c r="E167" s="2" t="s">
        <v>460</v>
      </c>
      <c r="F167" s="3">
        <v>4</v>
      </c>
      <c r="G167" s="4" t="s">
        <v>577</v>
      </c>
      <c r="H167" s="4"/>
      <c r="I167" s="4"/>
      <c r="J167" s="4"/>
      <c r="K167" s="4"/>
      <c r="L167" s="3">
        <f t="shared" si="4"/>
        <v>4</v>
      </c>
      <c r="M167" s="4"/>
      <c r="N167" s="4"/>
      <c r="O167" s="4"/>
      <c r="P167" s="4"/>
      <c r="Q167" s="4"/>
      <c r="R167" s="4"/>
      <c r="S167" s="3">
        <f t="shared" si="5"/>
        <v>0</v>
      </c>
      <c r="T167" s="5"/>
    </row>
    <row r="168" spans="1:20" ht="28.5" x14ac:dyDescent="0.25">
      <c r="A168" s="3" t="s">
        <v>261</v>
      </c>
      <c r="B168" s="3" t="s">
        <v>258</v>
      </c>
      <c r="C168" s="3">
        <v>2</v>
      </c>
      <c r="D168" s="3">
        <v>14</v>
      </c>
      <c r="E168" s="2" t="s">
        <v>461</v>
      </c>
      <c r="F168" s="3">
        <v>5</v>
      </c>
      <c r="G168" s="4" t="s">
        <v>578</v>
      </c>
      <c r="H168" s="4"/>
      <c r="I168" s="4"/>
      <c r="J168" s="4">
        <v>1</v>
      </c>
      <c r="K168" s="4"/>
      <c r="L168" s="3">
        <f t="shared" si="4"/>
        <v>4</v>
      </c>
      <c r="M168" s="4"/>
      <c r="N168" s="4"/>
      <c r="O168" s="4"/>
      <c r="P168" s="4"/>
      <c r="Q168" s="4"/>
      <c r="R168" s="4"/>
      <c r="S168" s="3">
        <f t="shared" si="5"/>
        <v>0</v>
      </c>
      <c r="T168" s="5"/>
    </row>
    <row r="169" spans="1:20" ht="42.75" x14ac:dyDescent="0.25">
      <c r="A169" s="3" t="s">
        <v>261</v>
      </c>
      <c r="B169" s="3" t="s">
        <v>258</v>
      </c>
      <c r="C169" s="3">
        <v>2</v>
      </c>
      <c r="D169" s="3">
        <v>15</v>
      </c>
      <c r="E169" s="2" t="s">
        <v>462</v>
      </c>
      <c r="F169" s="3">
        <v>17</v>
      </c>
      <c r="G169" s="8" t="s">
        <v>578</v>
      </c>
      <c r="H169" s="4"/>
      <c r="I169" s="4">
        <v>2</v>
      </c>
      <c r="J169" s="4"/>
      <c r="K169" s="4"/>
      <c r="L169" s="3">
        <f t="shared" si="4"/>
        <v>15</v>
      </c>
      <c r="M169" s="4"/>
      <c r="N169" s="4"/>
      <c r="O169" s="4"/>
      <c r="P169" s="4"/>
      <c r="Q169" s="4"/>
      <c r="R169" s="4"/>
      <c r="S169" s="3">
        <f t="shared" si="5"/>
        <v>0</v>
      </c>
      <c r="T169" s="5"/>
    </row>
    <row r="170" spans="1:20" ht="28.5" x14ac:dyDescent="0.25">
      <c r="A170" s="3" t="s">
        <v>261</v>
      </c>
      <c r="B170" s="3" t="s">
        <v>258</v>
      </c>
      <c r="C170" s="3">
        <v>2</v>
      </c>
      <c r="D170" s="3">
        <v>16</v>
      </c>
      <c r="E170" s="2" t="s">
        <v>463</v>
      </c>
      <c r="F170" s="3">
        <v>8</v>
      </c>
      <c r="G170" s="8" t="s">
        <v>578</v>
      </c>
      <c r="H170" s="4">
        <v>1</v>
      </c>
      <c r="I170" s="4"/>
      <c r="J170" s="4">
        <v>1</v>
      </c>
      <c r="K170" s="4"/>
      <c r="L170" s="3">
        <f t="shared" si="4"/>
        <v>6</v>
      </c>
      <c r="M170" s="4"/>
      <c r="N170" s="4"/>
      <c r="O170" s="4"/>
      <c r="P170" s="4"/>
      <c r="Q170" s="4"/>
      <c r="R170" s="4"/>
      <c r="S170" s="3">
        <f t="shared" si="5"/>
        <v>0</v>
      </c>
      <c r="T170" s="5"/>
    </row>
    <row r="171" spans="1:20" ht="42.75" x14ac:dyDescent="0.25">
      <c r="A171" s="3" t="s">
        <v>261</v>
      </c>
      <c r="B171" s="3" t="s">
        <v>258</v>
      </c>
      <c r="C171" s="3">
        <v>2</v>
      </c>
      <c r="D171" s="3">
        <v>17</v>
      </c>
      <c r="E171" s="2" t="s">
        <v>464</v>
      </c>
      <c r="F171" s="3">
        <v>14</v>
      </c>
      <c r="G171" s="8" t="s">
        <v>578</v>
      </c>
      <c r="H171" s="4">
        <v>2</v>
      </c>
      <c r="I171" s="4"/>
      <c r="J171" s="4"/>
      <c r="K171" s="4"/>
      <c r="L171" s="3">
        <f t="shared" si="4"/>
        <v>12</v>
      </c>
      <c r="M171" s="4"/>
      <c r="N171" s="4"/>
      <c r="O171" s="4"/>
      <c r="P171" s="4"/>
      <c r="Q171" s="4"/>
      <c r="R171" s="4"/>
      <c r="S171" s="3">
        <f t="shared" si="5"/>
        <v>0</v>
      </c>
      <c r="T171" s="5"/>
    </row>
    <row r="172" spans="1:20" ht="42.75" x14ac:dyDescent="0.25">
      <c r="A172" s="3" t="s">
        <v>261</v>
      </c>
      <c r="B172" s="3" t="s">
        <v>258</v>
      </c>
      <c r="C172" s="3">
        <v>2</v>
      </c>
      <c r="D172" s="3">
        <v>18</v>
      </c>
      <c r="E172" s="2" t="s">
        <v>465</v>
      </c>
      <c r="F172" s="3">
        <v>13</v>
      </c>
      <c r="G172" s="8" t="s">
        <v>578</v>
      </c>
      <c r="H172" s="4">
        <v>1</v>
      </c>
      <c r="I172" s="4"/>
      <c r="J172" s="4"/>
      <c r="K172" s="4"/>
      <c r="L172" s="3">
        <f t="shared" si="4"/>
        <v>12</v>
      </c>
      <c r="M172" s="4"/>
      <c r="N172" s="4"/>
      <c r="O172" s="4"/>
      <c r="P172" s="4"/>
      <c r="Q172" s="4"/>
      <c r="R172" s="4"/>
      <c r="S172" s="3">
        <f t="shared" si="5"/>
        <v>0</v>
      </c>
      <c r="T172" s="5"/>
    </row>
    <row r="173" spans="1:20" ht="28.5" x14ac:dyDescent="0.25">
      <c r="A173" s="3" t="s">
        <v>261</v>
      </c>
      <c r="B173" s="3" t="s">
        <v>258</v>
      </c>
      <c r="C173" s="3">
        <v>2</v>
      </c>
      <c r="D173" s="3">
        <v>19</v>
      </c>
      <c r="E173" s="2" t="s">
        <v>466</v>
      </c>
      <c r="F173" s="3">
        <v>7</v>
      </c>
      <c r="G173" s="8" t="s">
        <v>578</v>
      </c>
      <c r="H173" s="4">
        <v>3</v>
      </c>
      <c r="I173" s="4">
        <v>1</v>
      </c>
      <c r="J173" s="4"/>
      <c r="K173" s="4"/>
      <c r="L173" s="3">
        <f t="shared" si="4"/>
        <v>3</v>
      </c>
      <c r="M173" s="4"/>
      <c r="N173" s="4"/>
      <c r="O173" s="4"/>
      <c r="P173" s="4"/>
      <c r="Q173" s="4"/>
      <c r="R173" s="4"/>
      <c r="S173" s="3">
        <f t="shared" si="5"/>
        <v>0</v>
      </c>
      <c r="T173" s="5"/>
    </row>
    <row r="174" spans="1:20" x14ac:dyDescent="0.25">
      <c r="A174" s="3" t="s">
        <v>263</v>
      </c>
      <c r="B174" s="3" t="s">
        <v>258</v>
      </c>
      <c r="C174" s="3">
        <v>3</v>
      </c>
      <c r="D174" s="3">
        <v>1</v>
      </c>
      <c r="E174" s="2" t="s">
        <v>467</v>
      </c>
      <c r="F174" s="3">
        <v>5</v>
      </c>
      <c r="G174" s="4"/>
      <c r="H174" s="4"/>
      <c r="I174" s="4"/>
      <c r="J174" s="4"/>
      <c r="K174" s="4"/>
      <c r="L174" s="3">
        <f t="shared" si="4"/>
        <v>5</v>
      </c>
      <c r="M174" s="4"/>
      <c r="N174" s="4"/>
      <c r="O174" s="4"/>
      <c r="P174" s="4"/>
      <c r="Q174" s="4"/>
      <c r="R174" s="4"/>
      <c r="S174" s="3">
        <f t="shared" si="5"/>
        <v>0</v>
      </c>
      <c r="T174" s="5"/>
    </row>
    <row r="175" spans="1:20" ht="28.5" x14ac:dyDescent="0.25">
      <c r="A175" s="3" t="s">
        <v>263</v>
      </c>
      <c r="B175" s="3" t="s">
        <v>258</v>
      </c>
      <c r="C175" s="3">
        <v>3</v>
      </c>
      <c r="D175" s="3">
        <v>2</v>
      </c>
      <c r="E175" s="2" t="s">
        <v>468</v>
      </c>
      <c r="F175" s="3">
        <v>13</v>
      </c>
      <c r="G175" s="4"/>
      <c r="H175" s="4"/>
      <c r="I175" s="4"/>
      <c r="J175" s="4"/>
      <c r="K175" s="4"/>
      <c r="L175" s="3">
        <f t="shared" si="4"/>
        <v>13</v>
      </c>
      <c r="M175" s="4"/>
      <c r="N175" s="4"/>
      <c r="O175" s="4"/>
      <c r="P175" s="4"/>
      <c r="Q175" s="4"/>
      <c r="R175" s="4"/>
      <c r="S175" s="3">
        <f t="shared" si="5"/>
        <v>0</v>
      </c>
      <c r="T175" s="5"/>
    </row>
    <row r="176" spans="1:20" ht="28.5" x14ac:dyDescent="0.25">
      <c r="A176" s="3" t="s">
        <v>265</v>
      </c>
      <c r="B176" s="3" t="s">
        <v>258</v>
      </c>
      <c r="C176" s="3">
        <v>4</v>
      </c>
      <c r="D176" s="3">
        <v>1</v>
      </c>
      <c r="E176" s="2" t="s">
        <v>469</v>
      </c>
      <c r="F176" s="3">
        <v>3</v>
      </c>
      <c r="G176" s="4" t="s">
        <v>578</v>
      </c>
      <c r="H176" s="4">
        <v>1</v>
      </c>
      <c r="I176" s="4"/>
      <c r="J176" s="4"/>
      <c r="K176" s="4"/>
      <c r="L176" s="3">
        <f t="shared" si="4"/>
        <v>2</v>
      </c>
      <c r="M176" s="4"/>
      <c r="N176" s="4"/>
      <c r="O176" s="4"/>
      <c r="P176" s="4"/>
      <c r="Q176" s="4"/>
      <c r="R176" s="4"/>
      <c r="S176" s="3">
        <f t="shared" si="5"/>
        <v>0</v>
      </c>
      <c r="T176" s="5"/>
    </row>
    <row r="177" spans="1:20" x14ac:dyDescent="0.25">
      <c r="A177" s="3" t="s">
        <v>265</v>
      </c>
      <c r="B177" s="3" t="s">
        <v>258</v>
      </c>
      <c r="C177" s="3">
        <v>4</v>
      </c>
      <c r="D177" s="3">
        <v>2</v>
      </c>
      <c r="E177" s="2" t="s">
        <v>470</v>
      </c>
      <c r="F177" s="3">
        <v>3</v>
      </c>
      <c r="G177" s="8" t="s">
        <v>577</v>
      </c>
      <c r="H177" s="4"/>
      <c r="I177" s="4"/>
      <c r="J177" s="4"/>
      <c r="K177" s="4"/>
      <c r="L177" s="3">
        <f t="shared" si="4"/>
        <v>3</v>
      </c>
      <c r="M177" s="4"/>
      <c r="N177" s="4"/>
      <c r="O177" s="4"/>
      <c r="P177" s="4"/>
      <c r="Q177" s="4"/>
      <c r="R177" s="4"/>
      <c r="S177" s="3">
        <f t="shared" si="5"/>
        <v>0</v>
      </c>
      <c r="T177" s="5"/>
    </row>
    <row r="178" spans="1:20" ht="28.5" x14ac:dyDescent="0.25">
      <c r="A178" s="3" t="s">
        <v>265</v>
      </c>
      <c r="B178" s="3" t="s">
        <v>258</v>
      </c>
      <c r="C178" s="3">
        <v>4</v>
      </c>
      <c r="D178" s="3">
        <v>3</v>
      </c>
      <c r="E178" s="2" t="s">
        <v>471</v>
      </c>
      <c r="F178" s="3">
        <v>4</v>
      </c>
      <c r="G178" s="8" t="s">
        <v>578</v>
      </c>
      <c r="H178" s="4"/>
      <c r="I178" s="4">
        <v>1</v>
      </c>
      <c r="J178" s="4"/>
      <c r="K178" s="4">
        <v>1</v>
      </c>
      <c r="L178" s="3">
        <f t="shared" si="4"/>
        <v>2</v>
      </c>
      <c r="M178" s="4"/>
      <c r="N178" s="4">
        <v>1</v>
      </c>
      <c r="O178" s="4"/>
      <c r="P178" s="4"/>
      <c r="Q178" s="4"/>
      <c r="R178" s="4"/>
      <c r="S178" s="3">
        <f t="shared" si="5"/>
        <v>1</v>
      </c>
      <c r="T178" s="5"/>
    </row>
    <row r="179" spans="1:20" x14ac:dyDescent="0.25">
      <c r="A179" s="3" t="s">
        <v>265</v>
      </c>
      <c r="B179" s="3" t="s">
        <v>258</v>
      </c>
      <c r="C179" s="3">
        <v>4</v>
      </c>
      <c r="D179" s="3">
        <v>4</v>
      </c>
      <c r="E179" s="2" t="s">
        <v>442</v>
      </c>
      <c r="F179" s="3">
        <v>3</v>
      </c>
      <c r="G179" s="8" t="s">
        <v>577</v>
      </c>
      <c r="H179" s="4"/>
      <c r="I179" s="4"/>
      <c r="J179" s="4"/>
      <c r="K179" s="4"/>
      <c r="L179" s="3">
        <f t="shared" si="4"/>
        <v>3</v>
      </c>
      <c r="M179" s="4"/>
      <c r="N179" s="4"/>
      <c r="O179" s="4"/>
      <c r="P179" s="4"/>
      <c r="Q179" s="4"/>
      <c r="R179" s="4"/>
      <c r="S179" s="3">
        <f t="shared" si="5"/>
        <v>0</v>
      </c>
      <c r="T179" s="5"/>
    </row>
    <row r="180" spans="1:20" x14ac:dyDescent="0.25">
      <c r="A180" s="3" t="s">
        <v>265</v>
      </c>
      <c r="B180" s="3" t="s">
        <v>258</v>
      </c>
      <c r="C180" s="3">
        <v>4</v>
      </c>
      <c r="D180" s="3">
        <v>5</v>
      </c>
      <c r="E180" s="2" t="s">
        <v>443</v>
      </c>
      <c r="F180" s="3">
        <v>4</v>
      </c>
      <c r="G180" s="8" t="s">
        <v>577</v>
      </c>
      <c r="H180" s="4"/>
      <c r="I180" s="4"/>
      <c r="J180" s="4"/>
      <c r="K180" s="4"/>
      <c r="L180" s="3">
        <f t="shared" si="4"/>
        <v>4</v>
      </c>
      <c r="M180" s="4"/>
      <c r="N180" s="4"/>
      <c r="O180" s="4"/>
      <c r="P180" s="4"/>
      <c r="Q180" s="4"/>
      <c r="R180" s="4"/>
      <c r="S180" s="3">
        <f t="shared" si="5"/>
        <v>0</v>
      </c>
      <c r="T180" s="5"/>
    </row>
    <row r="181" spans="1:20" x14ac:dyDescent="0.25">
      <c r="A181" s="3" t="s">
        <v>265</v>
      </c>
      <c r="B181" s="3" t="s">
        <v>258</v>
      </c>
      <c r="C181" s="3">
        <v>4</v>
      </c>
      <c r="D181" s="3">
        <v>6</v>
      </c>
      <c r="E181" s="2" t="s">
        <v>454</v>
      </c>
      <c r="F181" s="3">
        <v>3</v>
      </c>
      <c r="G181" s="8" t="s">
        <v>577</v>
      </c>
      <c r="H181" s="4"/>
      <c r="I181" s="4"/>
      <c r="J181" s="4"/>
      <c r="K181" s="4"/>
      <c r="L181" s="3">
        <f t="shared" si="4"/>
        <v>3</v>
      </c>
      <c r="M181" s="4"/>
      <c r="N181" s="4"/>
      <c r="O181" s="4"/>
      <c r="P181" s="4"/>
      <c r="Q181" s="4"/>
      <c r="R181" s="4"/>
      <c r="S181" s="3">
        <f t="shared" si="5"/>
        <v>0</v>
      </c>
      <c r="T181" s="5"/>
    </row>
    <row r="182" spans="1:20" x14ac:dyDescent="0.25">
      <c r="A182" s="3" t="s">
        <v>265</v>
      </c>
      <c r="B182" s="3" t="s">
        <v>258</v>
      </c>
      <c r="C182" s="3">
        <v>4</v>
      </c>
      <c r="D182" s="3">
        <v>7</v>
      </c>
      <c r="E182" s="2" t="s">
        <v>445</v>
      </c>
      <c r="F182" s="3">
        <v>3</v>
      </c>
      <c r="G182" s="8" t="s">
        <v>577</v>
      </c>
      <c r="H182" s="4"/>
      <c r="I182" s="4"/>
      <c r="J182" s="4"/>
      <c r="K182" s="4"/>
      <c r="L182" s="3">
        <f t="shared" si="4"/>
        <v>3</v>
      </c>
      <c r="M182" s="4"/>
      <c r="N182" s="4"/>
      <c r="O182" s="4"/>
      <c r="P182" s="4"/>
      <c r="Q182" s="4"/>
      <c r="R182" s="4"/>
      <c r="S182" s="3">
        <f t="shared" si="5"/>
        <v>0</v>
      </c>
      <c r="T182" s="5"/>
    </row>
    <row r="183" spans="1:20" x14ac:dyDescent="0.25">
      <c r="A183" s="3" t="s">
        <v>265</v>
      </c>
      <c r="B183" s="3" t="s">
        <v>258</v>
      </c>
      <c r="C183" s="3">
        <v>4</v>
      </c>
      <c r="D183" s="3">
        <v>8</v>
      </c>
      <c r="E183" s="2" t="s">
        <v>446</v>
      </c>
      <c r="F183" s="3">
        <v>3</v>
      </c>
      <c r="G183" s="8" t="s">
        <v>577</v>
      </c>
      <c r="H183" s="4"/>
      <c r="I183" s="4"/>
      <c r="J183" s="4"/>
      <c r="K183" s="4"/>
      <c r="L183" s="3">
        <f t="shared" si="4"/>
        <v>3</v>
      </c>
      <c r="M183" s="4"/>
      <c r="N183" s="4"/>
      <c r="O183" s="4"/>
      <c r="P183" s="4"/>
      <c r="Q183" s="4"/>
      <c r="R183" s="4"/>
      <c r="S183" s="3">
        <f t="shared" si="5"/>
        <v>0</v>
      </c>
      <c r="T183" s="5"/>
    </row>
    <row r="184" spans="1:20" x14ac:dyDescent="0.25">
      <c r="A184" s="3" t="s">
        <v>265</v>
      </c>
      <c r="B184" s="3" t="s">
        <v>258</v>
      </c>
      <c r="C184" s="3">
        <v>4</v>
      </c>
      <c r="D184" s="3">
        <v>9</v>
      </c>
      <c r="E184" s="2" t="s">
        <v>447</v>
      </c>
      <c r="F184" s="3">
        <v>4</v>
      </c>
      <c r="G184" s="8" t="s">
        <v>577</v>
      </c>
      <c r="H184" s="4"/>
      <c r="I184" s="4"/>
      <c r="J184" s="4"/>
      <c r="K184" s="4"/>
      <c r="L184" s="3">
        <f t="shared" si="4"/>
        <v>4</v>
      </c>
      <c r="M184" s="4"/>
      <c r="N184" s="4"/>
      <c r="O184" s="4"/>
      <c r="P184" s="4"/>
      <c r="Q184" s="4"/>
      <c r="R184" s="4"/>
      <c r="S184" s="3">
        <f t="shared" si="5"/>
        <v>0</v>
      </c>
      <c r="T184" s="5"/>
    </row>
    <row r="185" spans="1:20" ht="28.5" x14ac:dyDescent="0.25">
      <c r="A185" s="3" t="s">
        <v>265</v>
      </c>
      <c r="B185" s="3" t="s">
        <v>258</v>
      </c>
      <c r="C185" s="3">
        <v>4</v>
      </c>
      <c r="D185" s="3">
        <v>10</v>
      </c>
      <c r="E185" s="2" t="s">
        <v>472</v>
      </c>
      <c r="F185" s="3">
        <v>6</v>
      </c>
      <c r="G185" s="8" t="s">
        <v>578</v>
      </c>
      <c r="H185" s="4">
        <v>2</v>
      </c>
      <c r="I185" s="4"/>
      <c r="J185" s="4"/>
      <c r="K185" s="4"/>
      <c r="L185" s="3">
        <f t="shared" si="4"/>
        <v>4</v>
      </c>
      <c r="M185" s="4"/>
      <c r="N185" s="4"/>
      <c r="O185" s="4"/>
      <c r="P185" s="4"/>
      <c r="Q185" s="4"/>
      <c r="R185" s="4"/>
      <c r="S185" s="3">
        <f t="shared" si="5"/>
        <v>0</v>
      </c>
      <c r="T185" s="5"/>
    </row>
    <row r="186" spans="1:20" ht="28.5" x14ac:dyDescent="0.25">
      <c r="A186" s="3" t="s">
        <v>265</v>
      </c>
      <c r="B186" s="3" t="s">
        <v>258</v>
      </c>
      <c r="C186" s="3">
        <v>4</v>
      </c>
      <c r="D186" s="3">
        <v>11</v>
      </c>
      <c r="E186" s="2" t="s">
        <v>473</v>
      </c>
      <c r="F186" s="3">
        <v>9</v>
      </c>
      <c r="G186" s="8" t="s">
        <v>578</v>
      </c>
      <c r="H186" s="4">
        <v>1</v>
      </c>
      <c r="I186" s="4">
        <v>1</v>
      </c>
      <c r="J186" s="4"/>
      <c r="K186" s="4"/>
      <c r="L186" s="3">
        <f t="shared" si="4"/>
        <v>7</v>
      </c>
      <c r="M186" s="4"/>
      <c r="N186" s="4"/>
      <c r="O186" s="4"/>
      <c r="P186" s="4"/>
      <c r="Q186" s="4"/>
      <c r="R186" s="4"/>
      <c r="S186" s="3">
        <f t="shared" si="5"/>
        <v>0</v>
      </c>
      <c r="T186" s="5"/>
    </row>
    <row r="187" spans="1:20" ht="28.5" x14ac:dyDescent="0.25">
      <c r="A187" s="3" t="s">
        <v>265</v>
      </c>
      <c r="B187" s="3" t="s">
        <v>258</v>
      </c>
      <c r="C187" s="3">
        <v>4</v>
      </c>
      <c r="D187" s="3">
        <v>12</v>
      </c>
      <c r="E187" s="2" t="s">
        <v>474</v>
      </c>
      <c r="F187" s="3">
        <v>11</v>
      </c>
      <c r="G187" s="8" t="s">
        <v>577</v>
      </c>
      <c r="H187" s="4"/>
      <c r="I187" s="4"/>
      <c r="J187" s="4"/>
      <c r="K187" s="4"/>
      <c r="L187" s="3">
        <f t="shared" si="4"/>
        <v>11</v>
      </c>
      <c r="M187" s="4"/>
      <c r="N187" s="4"/>
      <c r="O187" s="4"/>
      <c r="P187" s="4"/>
      <c r="Q187" s="4"/>
      <c r="R187" s="4"/>
      <c r="S187" s="3">
        <f t="shared" si="5"/>
        <v>0</v>
      </c>
      <c r="T187" s="5"/>
    </row>
    <row r="188" spans="1:20" ht="28.5" x14ac:dyDescent="0.25">
      <c r="A188" s="3" t="s">
        <v>265</v>
      </c>
      <c r="B188" s="3" t="s">
        <v>258</v>
      </c>
      <c r="C188" s="3">
        <v>4</v>
      </c>
      <c r="D188" s="3">
        <v>13</v>
      </c>
      <c r="E188" s="2" t="s">
        <v>475</v>
      </c>
      <c r="F188" s="3">
        <v>12</v>
      </c>
      <c r="G188" s="8" t="s">
        <v>578</v>
      </c>
      <c r="H188" s="4"/>
      <c r="I188" s="4">
        <v>1</v>
      </c>
      <c r="J188" s="4"/>
      <c r="K188" s="4">
        <v>3</v>
      </c>
      <c r="L188" s="3">
        <f t="shared" si="4"/>
        <v>8</v>
      </c>
      <c r="M188" s="4"/>
      <c r="N188" s="4">
        <v>3</v>
      </c>
      <c r="O188" s="4"/>
      <c r="P188" s="4"/>
      <c r="Q188" s="4"/>
      <c r="R188" s="4"/>
      <c r="S188" s="3">
        <f t="shared" si="5"/>
        <v>3</v>
      </c>
      <c r="T188" s="5"/>
    </row>
    <row r="189" spans="1:20" ht="28.5" x14ac:dyDescent="0.25">
      <c r="A189" s="3" t="s">
        <v>267</v>
      </c>
      <c r="B189" s="3" t="s">
        <v>258</v>
      </c>
      <c r="C189" s="3">
        <v>5</v>
      </c>
      <c r="D189" s="3">
        <v>1</v>
      </c>
      <c r="E189" s="2" t="s">
        <v>431</v>
      </c>
      <c r="F189" s="3">
        <v>2</v>
      </c>
      <c r="G189" s="8" t="s">
        <v>578</v>
      </c>
      <c r="H189" s="4">
        <v>1</v>
      </c>
      <c r="I189" s="4"/>
      <c r="J189" s="4"/>
      <c r="K189" s="4"/>
      <c r="L189" s="3">
        <f t="shared" si="4"/>
        <v>1</v>
      </c>
      <c r="M189" s="4"/>
      <c r="N189" s="4"/>
      <c r="O189" s="4"/>
      <c r="P189" s="4"/>
      <c r="Q189" s="4"/>
      <c r="R189" s="4"/>
      <c r="S189" s="3">
        <f t="shared" si="5"/>
        <v>0</v>
      </c>
      <c r="T189" s="5"/>
    </row>
    <row r="190" spans="1:20" x14ac:dyDescent="0.25">
      <c r="A190" s="3" t="s">
        <v>267</v>
      </c>
      <c r="B190" s="3" t="s">
        <v>258</v>
      </c>
      <c r="C190" s="3">
        <v>5</v>
      </c>
      <c r="D190" s="3">
        <v>2</v>
      </c>
      <c r="E190" s="2" t="s">
        <v>470</v>
      </c>
      <c r="F190" s="3">
        <v>3</v>
      </c>
      <c r="G190" s="8" t="s">
        <v>577</v>
      </c>
      <c r="H190" s="4"/>
      <c r="I190" s="4"/>
      <c r="J190" s="4"/>
      <c r="K190" s="4"/>
      <c r="L190" s="3">
        <f t="shared" si="4"/>
        <v>3</v>
      </c>
      <c r="M190" s="4"/>
      <c r="N190" s="4"/>
      <c r="O190" s="4"/>
      <c r="P190" s="4"/>
      <c r="Q190" s="4"/>
      <c r="R190" s="4"/>
      <c r="S190" s="3">
        <f t="shared" si="5"/>
        <v>0</v>
      </c>
      <c r="T190" s="5"/>
    </row>
    <row r="191" spans="1:20" x14ac:dyDescent="0.25">
      <c r="A191" s="3" t="s">
        <v>267</v>
      </c>
      <c r="B191" s="3" t="s">
        <v>258</v>
      </c>
      <c r="C191" s="3">
        <v>5</v>
      </c>
      <c r="D191" s="3">
        <v>3</v>
      </c>
      <c r="E191" s="2" t="s">
        <v>476</v>
      </c>
      <c r="F191" s="3">
        <v>4</v>
      </c>
      <c r="G191" s="8" t="s">
        <v>577</v>
      </c>
      <c r="H191" s="4"/>
      <c r="I191" s="4"/>
      <c r="J191" s="4"/>
      <c r="K191" s="4"/>
      <c r="L191" s="3">
        <f t="shared" si="4"/>
        <v>4</v>
      </c>
      <c r="M191" s="4"/>
      <c r="N191" s="4"/>
      <c r="O191" s="4"/>
      <c r="P191" s="4"/>
      <c r="Q191" s="4"/>
      <c r="R191" s="4"/>
      <c r="S191" s="3">
        <f t="shared" si="5"/>
        <v>0</v>
      </c>
      <c r="T191" s="5"/>
    </row>
    <row r="192" spans="1:20" x14ac:dyDescent="0.25">
      <c r="A192" s="3" t="s">
        <v>267</v>
      </c>
      <c r="B192" s="3" t="s">
        <v>258</v>
      </c>
      <c r="C192" s="3">
        <v>5</v>
      </c>
      <c r="D192" s="3">
        <v>4</v>
      </c>
      <c r="E192" s="2" t="s">
        <v>442</v>
      </c>
      <c r="F192" s="3">
        <v>3</v>
      </c>
      <c r="G192" s="8" t="s">
        <v>577</v>
      </c>
      <c r="H192" s="4"/>
      <c r="I192" s="4"/>
      <c r="J192" s="4"/>
      <c r="K192" s="4"/>
      <c r="L192" s="3">
        <f t="shared" si="4"/>
        <v>3</v>
      </c>
      <c r="M192" s="4"/>
      <c r="N192" s="4"/>
      <c r="O192" s="4"/>
      <c r="P192" s="4"/>
      <c r="Q192" s="4"/>
      <c r="R192" s="4"/>
      <c r="S192" s="3">
        <f t="shared" si="5"/>
        <v>0</v>
      </c>
      <c r="T192" s="5"/>
    </row>
    <row r="193" spans="1:20" x14ac:dyDescent="0.25">
      <c r="A193" s="3" t="s">
        <v>267</v>
      </c>
      <c r="B193" s="3" t="s">
        <v>258</v>
      </c>
      <c r="C193" s="3">
        <v>5</v>
      </c>
      <c r="D193" s="3">
        <v>5</v>
      </c>
      <c r="E193" s="2" t="s">
        <v>443</v>
      </c>
      <c r="F193" s="3">
        <v>4</v>
      </c>
      <c r="G193" s="8" t="s">
        <v>577</v>
      </c>
      <c r="H193" s="4"/>
      <c r="I193" s="4"/>
      <c r="J193" s="4"/>
      <c r="K193" s="4"/>
      <c r="L193" s="3">
        <f t="shared" si="4"/>
        <v>4</v>
      </c>
      <c r="M193" s="4"/>
      <c r="N193" s="4"/>
      <c r="O193" s="4"/>
      <c r="P193" s="4"/>
      <c r="Q193" s="4"/>
      <c r="R193" s="4"/>
      <c r="S193" s="3">
        <f t="shared" si="5"/>
        <v>0</v>
      </c>
      <c r="T193" s="5"/>
    </row>
    <row r="194" spans="1:20" x14ac:dyDescent="0.25">
      <c r="A194" s="3" t="s">
        <v>267</v>
      </c>
      <c r="B194" s="3" t="s">
        <v>258</v>
      </c>
      <c r="C194" s="3">
        <v>5</v>
      </c>
      <c r="D194" s="3">
        <v>6</v>
      </c>
      <c r="E194" s="2" t="s">
        <v>454</v>
      </c>
      <c r="F194" s="3">
        <v>3</v>
      </c>
      <c r="G194" s="8" t="s">
        <v>577</v>
      </c>
      <c r="H194" s="4"/>
      <c r="I194" s="4"/>
      <c r="J194" s="4"/>
      <c r="K194" s="4"/>
      <c r="L194" s="3">
        <f t="shared" ref="L194:L251" si="6">F194-(H194+I194+J194+K194)</f>
        <v>3</v>
      </c>
      <c r="M194" s="4"/>
      <c r="N194" s="4"/>
      <c r="O194" s="4"/>
      <c r="P194" s="4"/>
      <c r="Q194" s="4"/>
      <c r="R194" s="4"/>
      <c r="S194" s="3">
        <f t="shared" ref="S194:S251" si="7">N194+O194+P194+Q194+R194</f>
        <v>0</v>
      </c>
      <c r="T194" s="5"/>
    </row>
    <row r="195" spans="1:20" x14ac:dyDescent="0.25">
      <c r="A195" s="3" t="s">
        <v>267</v>
      </c>
      <c r="B195" s="3" t="s">
        <v>258</v>
      </c>
      <c r="C195" s="3">
        <v>5</v>
      </c>
      <c r="D195" s="3">
        <v>7</v>
      </c>
      <c r="E195" s="2" t="s">
        <v>445</v>
      </c>
      <c r="F195" s="3">
        <v>3</v>
      </c>
      <c r="G195" s="8" t="s">
        <v>577</v>
      </c>
      <c r="H195" s="4"/>
      <c r="I195" s="4"/>
      <c r="J195" s="4"/>
      <c r="K195" s="4"/>
      <c r="L195" s="3">
        <f t="shared" si="6"/>
        <v>3</v>
      </c>
      <c r="M195" s="4"/>
      <c r="N195" s="4"/>
      <c r="O195" s="4"/>
      <c r="P195" s="4"/>
      <c r="Q195" s="4"/>
      <c r="R195" s="4"/>
      <c r="S195" s="3">
        <f t="shared" si="7"/>
        <v>0</v>
      </c>
      <c r="T195" s="5"/>
    </row>
    <row r="196" spans="1:20" x14ac:dyDescent="0.25">
      <c r="A196" s="3" t="s">
        <v>267</v>
      </c>
      <c r="B196" s="3" t="s">
        <v>258</v>
      </c>
      <c r="C196" s="3">
        <v>5</v>
      </c>
      <c r="D196" s="3">
        <v>8</v>
      </c>
      <c r="E196" s="2" t="s">
        <v>477</v>
      </c>
      <c r="F196" s="3">
        <v>2</v>
      </c>
      <c r="G196" s="8" t="s">
        <v>577</v>
      </c>
      <c r="H196" s="4"/>
      <c r="I196" s="4"/>
      <c r="J196" s="4"/>
      <c r="K196" s="4"/>
      <c r="L196" s="3">
        <f t="shared" si="6"/>
        <v>2</v>
      </c>
      <c r="M196" s="4"/>
      <c r="N196" s="4"/>
      <c r="O196" s="4"/>
      <c r="P196" s="4"/>
      <c r="Q196" s="4"/>
      <c r="R196" s="4"/>
      <c r="S196" s="3">
        <f t="shared" si="7"/>
        <v>0</v>
      </c>
      <c r="T196" s="5"/>
    </row>
    <row r="197" spans="1:20" x14ac:dyDescent="0.25">
      <c r="A197" s="3" t="s">
        <v>267</v>
      </c>
      <c r="B197" s="3" t="s">
        <v>258</v>
      </c>
      <c r="C197" s="3">
        <v>5</v>
      </c>
      <c r="D197" s="3">
        <v>9</v>
      </c>
      <c r="E197" s="2" t="s">
        <v>447</v>
      </c>
      <c r="F197" s="3">
        <v>4</v>
      </c>
      <c r="G197" s="8" t="s">
        <v>577</v>
      </c>
      <c r="H197" s="4"/>
      <c r="I197" s="4"/>
      <c r="J197" s="4"/>
      <c r="K197" s="4"/>
      <c r="L197" s="3">
        <f t="shared" si="6"/>
        <v>4</v>
      </c>
      <c r="M197" s="4"/>
      <c r="N197" s="4"/>
      <c r="O197" s="4"/>
      <c r="P197" s="4"/>
      <c r="Q197" s="4"/>
      <c r="R197" s="4"/>
      <c r="S197" s="3">
        <f t="shared" si="7"/>
        <v>0</v>
      </c>
      <c r="T197" s="5"/>
    </row>
    <row r="198" spans="1:20" ht="28.5" x14ac:dyDescent="0.25">
      <c r="A198" s="3" t="s">
        <v>267</v>
      </c>
      <c r="B198" s="3" t="s">
        <v>258</v>
      </c>
      <c r="C198" s="3">
        <v>5</v>
      </c>
      <c r="D198" s="3">
        <v>10</v>
      </c>
      <c r="E198" s="2" t="s">
        <v>478</v>
      </c>
      <c r="F198" s="3">
        <v>6</v>
      </c>
      <c r="G198" s="8" t="s">
        <v>578</v>
      </c>
      <c r="H198" s="4">
        <v>2</v>
      </c>
      <c r="I198" s="4"/>
      <c r="J198" s="4"/>
      <c r="K198" s="4"/>
      <c r="L198" s="3">
        <f t="shared" si="6"/>
        <v>4</v>
      </c>
      <c r="M198" s="4"/>
      <c r="N198" s="4"/>
      <c r="O198" s="4"/>
      <c r="P198" s="4"/>
      <c r="Q198" s="4"/>
      <c r="R198" s="4"/>
      <c r="S198" s="3">
        <f t="shared" si="7"/>
        <v>0</v>
      </c>
      <c r="T198" s="5"/>
    </row>
    <row r="199" spans="1:20" ht="28.5" x14ac:dyDescent="0.25">
      <c r="A199" s="3" t="s">
        <v>267</v>
      </c>
      <c r="B199" s="3" t="s">
        <v>258</v>
      </c>
      <c r="C199" s="3">
        <v>5</v>
      </c>
      <c r="D199" s="3">
        <v>11</v>
      </c>
      <c r="E199" s="2" t="s">
        <v>479</v>
      </c>
      <c r="F199" s="3">
        <v>7</v>
      </c>
      <c r="G199" s="8" t="s">
        <v>578</v>
      </c>
      <c r="H199" s="4"/>
      <c r="I199" s="4"/>
      <c r="J199" s="4">
        <v>1</v>
      </c>
      <c r="K199" s="4"/>
      <c r="L199" s="3">
        <f t="shared" si="6"/>
        <v>6</v>
      </c>
      <c r="M199" s="4"/>
      <c r="N199" s="4"/>
      <c r="O199" s="4"/>
      <c r="P199" s="4"/>
      <c r="Q199" s="4"/>
      <c r="R199" s="4"/>
      <c r="S199" s="3">
        <f t="shared" si="7"/>
        <v>0</v>
      </c>
      <c r="T199" s="5"/>
    </row>
    <row r="200" spans="1:20" ht="28.5" x14ac:dyDescent="0.25">
      <c r="A200" s="3" t="s">
        <v>267</v>
      </c>
      <c r="B200" s="3" t="s">
        <v>258</v>
      </c>
      <c r="C200" s="3">
        <v>5</v>
      </c>
      <c r="D200" s="3">
        <v>12</v>
      </c>
      <c r="E200" s="2" t="s">
        <v>474</v>
      </c>
      <c r="F200" s="3">
        <v>11</v>
      </c>
      <c r="G200" s="8" t="s">
        <v>577</v>
      </c>
      <c r="H200" s="4"/>
      <c r="I200" s="4"/>
      <c r="J200" s="4"/>
      <c r="K200" s="4"/>
      <c r="L200" s="3">
        <f t="shared" si="6"/>
        <v>11</v>
      </c>
      <c r="M200" s="4"/>
      <c r="N200" s="4"/>
      <c r="O200" s="4"/>
      <c r="P200" s="4"/>
      <c r="Q200" s="4"/>
      <c r="R200" s="4"/>
      <c r="S200" s="3">
        <f t="shared" si="7"/>
        <v>0</v>
      </c>
      <c r="T200" s="5"/>
    </row>
    <row r="201" spans="1:20" ht="28.5" x14ac:dyDescent="0.25">
      <c r="A201" s="3" t="s">
        <v>269</v>
      </c>
      <c r="B201" s="3" t="s">
        <v>270</v>
      </c>
      <c r="C201" s="3">
        <v>1</v>
      </c>
      <c r="D201" s="3">
        <v>1</v>
      </c>
      <c r="E201" s="2" t="s">
        <v>480</v>
      </c>
      <c r="F201" s="3">
        <v>12</v>
      </c>
      <c r="G201" s="8" t="s">
        <v>578</v>
      </c>
      <c r="H201" s="4">
        <v>2</v>
      </c>
      <c r="I201" s="4">
        <v>3</v>
      </c>
      <c r="J201" s="4"/>
      <c r="K201" s="4"/>
      <c r="L201" s="3">
        <f t="shared" si="6"/>
        <v>7</v>
      </c>
      <c r="M201" s="4"/>
      <c r="N201" s="4"/>
      <c r="O201" s="4"/>
      <c r="P201" s="4"/>
      <c r="Q201" s="4"/>
      <c r="R201" s="4"/>
      <c r="S201" s="3">
        <f t="shared" si="7"/>
        <v>0</v>
      </c>
      <c r="T201" s="5"/>
    </row>
    <row r="202" spans="1:20" ht="28.5" x14ac:dyDescent="0.25">
      <c r="A202" s="3" t="s">
        <v>269</v>
      </c>
      <c r="B202" s="3" t="s">
        <v>270</v>
      </c>
      <c r="C202" s="3">
        <v>1</v>
      </c>
      <c r="D202" s="3">
        <v>2</v>
      </c>
      <c r="E202" s="2" t="s">
        <v>481</v>
      </c>
      <c r="F202" s="3">
        <v>10</v>
      </c>
      <c r="G202" s="8" t="s">
        <v>578</v>
      </c>
      <c r="H202" s="4">
        <v>2</v>
      </c>
      <c r="I202" s="4"/>
      <c r="J202" s="4"/>
      <c r="K202" s="4"/>
      <c r="L202" s="3">
        <f t="shared" si="6"/>
        <v>8</v>
      </c>
      <c r="M202" s="4"/>
      <c r="N202" s="4"/>
      <c r="O202" s="4"/>
      <c r="P202" s="4"/>
      <c r="Q202" s="4"/>
      <c r="R202" s="4"/>
      <c r="S202" s="3">
        <f t="shared" si="7"/>
        <v>0</v>
      </c>
      <c r="T202" s="5"/>
    </row>
    <row r="203" spans="1:20" ht="28.5" x14ac:dyDescent="0.25">
      <c r="A203" s="3" t="s">
        <v>273</v>
      </c>
      <c r="B203" s="3" t="s">
        <v>270</v>
      </c>
      <c r="C203" s="3">
        <v>2</v>
      </c>
      <c r="D203" s="3">
        <v>1</v>
      </c>
      <c r="E203" s="2" t="s">
        <v>482</v>
      </c>
      <c r="F203" s="3">
        <v>12</v>
      </c>
      <c r="G203" s="8" t="s">
        <v>578</v>
      </c>
      <c r="H203" s="4">
        <v>2</v>
      </c>
      <c r="I203" s="4"/>
      <c r="J203" s="4"/>
      <c r="K203" s="4"/>
      <c r="L203" s="3">
        <f t="shared" si="6"/>
        <v>10</v>
      </c>
      <c r="M203" s="4"/>
      <c r="N203" s="4"/>
      <c r="O203" s="4"/>
      <c r="P203" s="4"/>
      <c r="Q203" s="4"/>
      <c r="R203" s="4"/>
      <c r="S203" s="3">
        <f t="shared" si="7"/>
        <v>0</v>
      </c>
      <c r="T203" s="5"/>
    </row>
    <row r="204" spans="1:20" ht="28.5" x14ac:dyDescent="0.25">
      <c r="A204" s="3" t="s">
        <v>273</v>
      </c>
      <c r="B204" s="3" t="s">
        <v>270</v>
      </c>
      <c r="C204" s="3">
        <v>2</v>
      </c>
      <c r="D204" s="3">
        <v>2</v>
      </c>
      <c r="E204" s="2" t="s">
        <v>483</v>
      </c>
      <c r="F204" s="3">
        <v>14</v>
      </c>
      <c r="G204" s="8" t="s">
        <v>578</v>
      </c>
      <c r="H204" s="4">
        <v>1</v>
      </c>
      <c r="I204" s="4">
        <v>1</v>
      </c>
      <c r="J204" s="4"/>
      <c r="K204" s="4"/>
      <c r="L204" s="3">
        <f t="shared" si="6"/>
        <v>12</v>
      </c>
      <c r="M204" s="4"/>
      <c r="N204" s="4"/>
      <c r="O204" s="4"/>
      <c r="P204" s="4"/>
      <c r="Q204" s="4"/>
      <c r="R204" s="4"/>
      <c r="S204" s="3">
        <f t="shared" si="7"/>
        <v>0</v>
      </c>
      <c r="T204" s="5"/>
    </row>
    <row r="205" spans="1:20" ht="57" x14ac:dyDescent="0.25">
      <c r="A205" s="3" t="s">
        <v>273</v>
      </c>
      <c r="B205" s="3" t="s">
        <v>270</v>
      </c>
      <c r="C205" s="3">
        <v>2</v>
      </c>
      <c r="D205" s="3">
        <v>3</v>
      </c>
      <c r="E205" s="2" t="s">
        <v>484</v>
      </c>
      <c r="F205" s="3">
        <v>20</v>
      </c>
      <c r="G205" s="8" t="s">
        <v>578</v>
      </c>
      <c r="H205" s="4">
        <v>5</v>
      </c>
      <c r="I205" s="4"/>
      <c r="J205" s="4"/>
      <c r="K205" s="4">
        <v>1</v>
      </c>
      <c r="L205" s="3">
        <f t="shared" si="6"/>
        <v>14</v>
      </c>
      <c r="M205" s="4"/>
      <c r="N205" s="4">
        <v>1</v>
      </c>
      <c r="O205" s="4"/>
      <c r="P205" s="4"/>
      <c r="Q205" s="4"/>
      <c r="R205" s="4"/>
      <c r="S205" s="3">
        <f t="shared" si="7"/>
        <v>1</v>
      </c>
      <c r="T205" s="5"/>
    </row>
    <row r="206" spans="1:20" ht="28.5" x14ac:dyDescent="0.25">
      <c r="A206" s="3" t="s">
        <v>273</v>
      </c>
      <c r="B206" s="3" t="s">
        <v>270</v>
      </c>
      <c r="C206" s="3">
        <v>2</v>
      </c>
      <c r="D206" s="3">
        <v>4</v>
      </c>
      <c r="E206" s="2" t="s">
        <v>485</v>
      </c>
      <c r="F206" s="3">
        <v>5</v>
      </c>
      <c r="G206" s="8" t="s">
        <v>578</v>
      </c>
      <c r="H206" s="4">
        <v>1</v>
      </c>
      <c r="I206" s="4"/>
      <c r="J206" s="4"/>
      <c r="K206" s="4"/>
      <c r="L206" s="3">
        <f t="shared" si="6"/>
        <v>4</v>
      </c>
      <c r="M206" s="4"/>
      <c r="N206" s="4"/>
      <c r="O206" s="4"/>
      <c r="P206" s="4"/>
      <c r="Q206" s="4"/>
      <c r="R206" s="4"/>
      <c r="S206" s="3">
        <f t="shared" si="7"/>
        <v>0</v>
      </c>
      <c r="T206" s="5"/>
    </row>
    <row r="207" spans="1:20" ht="42.75" x14ac:dyDescent="0.25">
      <c r="A207" s="3" t="s">
        <v>275</v>
      </c>
      <c r="B207" s="3" t="s">
        <v>270</v>
      </c>
      <c r="C207" s="3">
        <v>3</v>
      </c>
      <c r="D207" s="3">
        <v>1</v>
      </c>
      <c r="E207" s="2" t="inlineStr">
        <is>
          <t xml:space="preserve">Мы параграфитӏум къызэращыгущыӏэр унагъо зэхуэсым, нэшыпӏэм (е шъаугъэм) ыкӏи ахъыжьышIэ фэгупшысагъэхэм атеуфыгъэх.</t>
        </is>
      </c>
      <c r="F207" s="3">
        <v>12</v>
      </c>
      <c r="G207" s="8" t="s">
        <v>578</v>
      </c>
      <c r="H207" s="4">
        <v>2</v>
      </c>
      <c r="I207" s="4"/>
      <c r="J207" s="4">
        <v>3</v>
      </c>
      <c r="K207" s="4">
        <v>2</v>
      </c>
      <c r="L207" s="3">
        <f t="shared" si="6"/>
        <v>5</v>
      </c>
      <c r="M207" s="4"/>
      <c r="N207" s="4">
        <v>2</v>
      </c>
      <c r="O207" s="4"/>
      <c r="P207" s="4"/>
      <c r="Q207" s="4"/>
      <c r="R207" s="4"/>
      <c r="S207" s="3">
        <f t="shared" si="7"/>
        <v>2</v>
      </c>
      <c r="T207" s="5" t="inlineStr">
        <is>
          <t>Yazı sistemi karışıklığı.</t>
        </is>
      </c>
    </row>
    <row r="208" spans="1:20" ht="28.5" x14ac:dyDescent="0.25">
      <c r="A208" s="3" t="s">
        <v>275</v>
      </c>
      <c r="B208" s="3" t="s">
        <v>270</v>
      </c>
      <c r="C208" s="3">
        <v>3</v>
      </c>
      <c r="D208" s="3">
        <v>2</v>
      </c>
      <c r="E208" s="2" t="inlineStr">
        <is>
          <t xml:space="preserve">Анахь шъхьаIэу къыгурыӏуагъэр: мы унагъом гъогу гъэшӏэгъон щыкӏогъэ ыкӏи ахэр насыпышӏо зэшӏынхэу афэлъаӏох.</t>
        </is>
      </c>
      <c r="F208" s="3">
        <v>13</v>
      </c>
      <c r="G208" s="8" t="s">
        <v>578</v>
      </c>
      <c r="H208" s="4">
        <v>1</v>
      </c>
      <c r="I208" s="4">
        <v>1</v>
      </c>
      <c r="J208" s="4"/>
      <c r="K208" s="4"/>
      <c r="L208" s="3">
        <f t="shared" si="6"/>
        <v>11</v>
      </c>
      <c r="M208" s="4"/>
      <c r="N208" s="4"/>
      <c r="O208" s="4"/>
      <c r="P208" s="4"/>
      <c r="Q208" s="4"/>
      <c r="R208" s="4"/>
      <c r="S208" s="3">
        <f t="shared" si="7"/>
        <v>0</v>
      </c>
      <c r="T208" s="5" t="inlineStr">
        <is>
          <t>Yazı sistemi karışıklığı.</t>
        </is>
      </c>
    </row>
    <row r="209" spans="1:20" ht="57" x14ac:dyDescent="0.25">
      <c r="A209" s="3" t="s">
        <v>277</v>
      </c>
      <c r="B209" s="3" t="s">
        <v>270</v>
      </c>
      <c r="C209" s="3">
        <v>4</v>
      </c>
      <c r="D209" s="3">
        <v>1</v>
      </c>
      <c r="E209" s="2" t="s">
        <v>488</v>
      </c>
      <c r="F209" s="3">
        <v>23</v>
      </c>
      <c r="G209" s="8" t="s">
        <v>578</v>
      </c>
      <c r="H209" s="4">
        <v>4</v>
      </c>
      <c r="I209" s="4"/>
      <c r="J209" s="4">
        <v>1</v>
      </c>
      <c r="K209" s="4">
        <v>1</v>
      </c>
      <c r="L209" s="3">
        <f t="shared" si="6"/>
        <v>17</v>
      </c>
      <c r="M209" s="4"/>
      <c r="N209" s="4">
        <v>1</v>
      </c>
      <c r="O209" s="4"/>
      <c r="P209" s="4"/>
      <c r="Q209" s="4"/>
      <c r="R209" s="4"/>
      <c r="S209" s="3">
        <f t="shared" si="7"/>
        <v>1</v>
      </c>
      <c r="T209" s="5"/>
    </row>
    <row r="210" spans="1:20" ht="57" x14ac:dyDescent="0.25">
      <c r="A210" s="3" t="s">
        <v>277</v>
      </c>
      <c r="B210" s="3" t="s">
        <v>270</v>
      </c>
      <c r="C210" s="3">
        <v>4</v>
      </c>
      <c r="D210" s="3">
        <v>2</v>
      </c>
      <c r="E210" s="2" t="s">
        <v>489</v>
      </c>
      <c r="F210" s="3">
        <v>26</v>
      </c>
      <c r="G210" s="8" t="s">
        <v>578</v>
      </c>
      <c r="H210" s="4">
        <v>5</v>
      </c>
      <c r="I210" s="4"/>
      <c r="J210" s="4"/>
      <c r="K210" s="4">
        <v>3</v>
      </c>
      <c r="L210" s="3">
        <f t="shared" si="6"/>
        <v>18</v>
      </c>
      <c r="M210" s="4"/>
      <c r="N210" s="4">
        <v>3</v>
      </c>
      <c r="O210" s="4"/>
      <c r="P210" s="4"/>
      <c r="Q210" s="4"/>
      <c r="R210" s="4"/>
      <c r="S210" s="3">
        <f t="shared" si="7"/>
        <v>3</v>
      </c>
      <c r="T210" s="5"/>
    </row>
    <row r="211" spans="1:20" x14ac:dyDescent="0.25">
      <c r="A211" s="3" t="s">
        <v>279</v>
      </c>
      <c r="B211" s="3" t="s">
        <v>270</v>
      </c>
      <c r="C211" s="3">
        <v>5</v>
      </c>
      <c r="D211" s="3">
        <v>1</v>
      </c>
      <c r="E211" s="2" t="s">
        <v>490</v>
      </c>
      <c r="F211" s="3">
        <v>1</v>
      </c>
      <c r="G211" s="8" t="s">
        <v>577</v>
      </c>
      <c r="H211" s="4"/>
      <c r="I211" s="4"/>
      <c r="J211" s="4"/>
      <c r="K211" s="4"/>
      <c r="L211" s="3">
        <f t="shared" si="6"/>
        <v>1</v>
      </c>
      <c r="M211" s="4"/>
      <c r="N211" s="4"/>
      <c r="O211" s="4"/>
      <c r="P211" s="4"/>
      <c r="Q211" s="4"/>
      <c r="R211" s="4"/>
      <c r="S211" s="3">
        <f t="shared" si="7"/>
        <v>0</v>
      </c>
      <c r="T211" s="5"/>
    </row>
    <row r="212" spans="1:20" ht="42.75" x14ac:dyDescent="0.25">
      <c r="A212" s="3" t="s">
        <v>279</v>
      </c>
      <c r="B212" s="3" t="s">
        <v>270</v>
      </c>
      <c r="C212" s="3">
        <v>5</v>
      </c>
      <c r="D212" s="3">
        <v>2</v>
      </c>
      <c r="E212" s="2" t="s">
        <v>491</v>
      </c>
      <c r="F212" s="3">
        <v>16</v>
      </c>
      <c r="G212" s="8" t="s">
        <v>578</v>
      </c>
      <c r="H212" s="4">
        <v>3</v>
      </c>
      <c r="I212" s="4">
        <v>1</v>
      </c>
      <c r="J212" s="4"/>
      <c r="K212" s="4"/>
      <c r="L212" s="3">
        <f t="shared" si="6"/>
        <v>12</v>
      </c>
      <c r="M212" s="4"/>
      <c r="N212" s="4"/>
      <c r="O212" s="4"/>
      <c r="P212" s="4"/>
      <c r="Q212" s="4"/>
      <c r="R212" s="4"/>
      <c r="S212" s="3">
        <f t="shared" si="7"/>
        <v>0</v>
      </c>
      <c r="T212" s="5"/>
    </row>
    <row r="213" spans="1:20" ht="28.5" x14ac:dyDescent="0.25">
      <c r="A213" s="3" t="s">
        <v>279</v>
      </c>
      <c r="B213" s="3" t="s">
        <v>270</v>
      </c>
      <c r="C213" s="3">
        <v>5</v>
      </c>
      <c r="D213" s="3">
        <v>3</v>
      </c>
      <c r="E213" s="2" t="s">
        <v>492</v>
      </c>
      <c r="F213" s="3">
        <v>9</v>
      </c>
      <c r="G213" s="8" t="s">
        <v>578</v>
      </c>
      <c r="H213" s="4"/>
      <c r="I213" s="4"/>
      <c r="J213" s="4"/>
      <c r="K213" s="4"/>
      <c r="L213" s="3">
        <f t="shared" si="6"/>
        <v>9</v>
      </c>
      <c r="M213" s="4"/>
      <c r="N213" s="4"/>
      <c r="O213" s="4"/>
      <c r="P213" s="4"/>
      <c r="Q213" s="4"/>
      <c r="R213" s="4"/>
      <c r="S213" s="3">
        <f t="shared" si="7"/>
        <v>0</v>
      </c>
      <c r="T213" s="5"/>
    </row>
    <row r="214" spans="1:20" ht="228" x14ac:dyDescent="0.25">
      <c r="A214" s="3" t="s">
        <v>281</v>
      </c>
      <c r="B214" s="3" t="s">
        <v>282</v>
      </c>
      <c r="C214" s="3">
        <v>1</v>
      </c>
      <c r="D214" s="3">
        <v>1</v>
      </c>
      <c r="E214" s="2" t="s">
        <v>284</v>
      </c>
      <c r="F214" s="3">
        <v>2</v>
      </c>
      <c r="G214" s="4" t="s">
        <v>577</v>
      </c>
      <c r="H214" s="4"/>
      <c r="I214" s="4"/>
      <c r="J214" s="4"/>
      <c r="K214" s="4"/>
      <c r="L214" s="3">
        <f t="shared" si="6"/>
        <v>2</v>
      </c>
      <c r="M214" s="4"/>
      <c r="N214" s="4"/>
      <c r="O214" s="4"/>
      <c r="P214" s="4"/>
      <c r="Q214" s="4"/>
      <c r="R214" s="4"/>
      <c r="S214" s="3">
        <f t="shared" si="7"/>
        <v>0</v>
      </c>
      <c r="T214" s="7" t="s">
        <v>581</v>
      </c>
    </row>
    <row r="215" spans="1:20" x14ac:dyDescent="0.25">
      <c r="A215" s="3" t="s">
        <v>285</v>
      </c>
      <c r="B215" s="3" t="s">
        <v>282</v>
      </c>
      <c r="C215" s="3">
        <v>2</v>
      </c>
      <c r="D215" s="3">
        <v>1</v>
      </c>
      <c r="E215" s="2" t="s">
        <v>493</v>
      </c>
      <c r="F215" s="3">
        <v>3</v>
      </c>
      <c r="G215" s="4" t="s">
        <v>577</v>
      </c>
      <c r="H215" s="4"/>
      <c r="I215" s="4"/>
      <c r="J215" s="4"/>
      <c r="K215" s="4"/>
      <c r="L215" s="3">
        <f t="shared" si="6"/>
        <v>3</v>
      </c>
      <c r="M215" s="4"/>
      <c r="N215" s="4"/>
      <c r="O215" s="4"/>
      <c r="P215" s="4"/>
      <c r="Q215" s="4"/>
      <c r="R215" s="4"/>
      <c r="S215" s="3">
        <f t="shared" si="7"/>
        <v>0</v>
      </c>
      <c r="T215" s="5"/>
    </row>
    <row r="216" spans="1:20" ht="28.5" x14ac:dyDescent="0.25">
      <c r="A216" s="3" t="s">
        <v>285</v>
      </c>
      <c r="B216" s="3" t="s">
        <v>282</v>
      </c>
      <c r="C216" s="3">
        <v>2</v>
      </c>
      <c r="D216" s="3">
        <v>2</v>
      </c>
      <c r="E216" s="2" t="s">
        <v>494</v>
      </c>
      <c r="F216" s="3">
        <v>2</v>
      </c>
      <c r="G216" s="4" t="s">
        <v>578</v>
      </c>
      <c r="H216" s="4"/>
      <c r="I216" s="4"/>
      <c r="J216" s="4"/>
      <c r="K216" s="4">
        <v>1</v>
      </c>
      <c r="L216" s="3">
        <f t="shared" si="6"/>
        <v>1</v>
      </c>
      <c r="M216" s="4"/>
      <c r="N216" s="4">
        <v>1</v>
      </c>
      <c r="O216" s="4"/>
      <c r="P216" s="4"/>
      <c r="Q216" s="4"/>
      <c r="R216" s="4"/>
      <c r="S216" s="3">
        <f t="shared" si="7"/>
        <v>1</v>
      </c>
      <c r="T216" s="5"/>
    </row>
    <row r="217" spans="1:20" ht="42.75" x14ac:dyDescent="0.25">
      <c r="A217" s="3" t="s">
        <v>285</v>
      </c>
      <c r="B217" s="3" t="s">
        <v>282</v>
      </c>
      <c r="C217" s="3">
        <v>2</v>
      </c>
      <c r="D217" s="3">
        <v>3</v>
      </c>
      <c r="E217" s="2" t="s">
        <v>495</v>
      </c>
      <c r="F217" s="3">
        <v>17</v>
      </c>
      <c r="G217" s="8" t="s">
        <v>578</v>
      </c>
      <c r="H217" s="4">
        <v>2</v>
      </c>
      <c r="I217" s="4">
        <v>1</v>
      </c>
      <c r="J217" s="4"/>
      <c r="K217" s="4"/>
      <c r="L217" s="3">
        <f t="shared" si="6"/>
        <v>14</v>
      </c>
      <c r="M217" s="4"/>
      <c r="N217" s="4"/>
      <c r="O217" s="4"/>
      <c r="P217" s="4"/>
      <c r="Q217" s="4"/>
      <c r="R217" s="4"/>
      <c r="S217" s="3">
        <f t="shared" si="7"/>
        <v>0</v>
      </c>
      <c r="T217" s="5"/>
    </row>
    <row r="218" spans="1:20" ht="57" x14ac:dyDescent="0.25">
      <c r="A218" s="3" t="s">
        <v>285</v>
      </c>
      <c r="B218" s="3" t="s">
        <v>282</v>
      </c>
      <c r="C218" s="3">
        <v>2</v>
      </c>
      <c r="D218" s="3">
        <v>4</v>
      </c>
      <c r="E218" s="2" t="s">
        <v>496</v>
      </c>
      <c r="F218" s="3">
        <v>20</v>
      </c>
      <c r="G218" s="8" t="s">
        <v>578</v>
      </c>
      <c r="H218" s="4">
        <v>4</v>
      </c>
      <c r="I218" s="4"/>
      <c r="J218" s="4">
        <v>1</v>
      </c>
      <c r="K218" s="4"/>
      <c r="L218" s="3">
        <f t="shared" si="6"/>
        <v>15</v>
      </c>
      <c r="M218" s="4"/>
      <c r="N218" s="4"/>
      <c r="O218" s="4"/>
      <c r="P218" s="4"/>
      <c r="Q218" s="4"/>
      <c r="R218" s="4"/>
      <c r="S218" s="3">
        <f t="shared" si="7"/>
        <v>0</v>
      </c>
      <c r="T218" s="5"/>
    </row>
    <row r="219" spans="1:20" ht="42.75" x14ac:dyDescent="0.25">
      <c r="A219" s="3" t="s">
        <v>285</v>
      </c>
      <c r="B219" s="3" t="s">
        <v>282</v>
      </c>
      <c r="C219" s="3">
        <v>2</v>
      </c>
      <c r="D219" s="3">
        <v>5</v>
      </c>
      <c r="E219" s="2" t="s">
        <v>497</v>
      </c>
      <c r="F219" s="3">
        <v>17</v>
      </c>
      <c r="G219" s="8" t="s">
        <v>578</v>
      </c>
      <c r="H219" s="4">
        <v>4</v>
      </c>
      <c r="I219" s="4">
        <v>1</v>
      </c>
      <c r="J219" s="4"/>
      <c r="K219" s="4"/>
      <c r="L219" s="3">
        <f t="shared" si="6"/>
        <v>12</v>
      </c>
      <c r="M219" s="4"/>
      <c r="N219" s="4"/>
      <c r="O219" s="4"/>
      <c r="P219" s="4"/>
      <c r="Q219" s="4"/>
      <c r="R219" s="4"/>
      <c r="S219" s="3">
        <f t="shared" si="7"/>
        <v>0</v>
      </c>
      <c r="T219" s="5"/>
    </row>
    <row r="220" spans="1:20" x14ac:dyDescent="0.25">
      <c r="A220" s="3" t="s">
        <v>285</v>
      </c>
      <c r="B220" s="3" t="s">
        <v>282</v>
      </c>
      <c r="C220" s="3">
        <v>2</v>
      </c>
      <c r="D220" s="3">
        <v>6</v>
      </c>
      <c r="E220" s="2" t="s">
        <v>498</v>
      </c>
      <c r="F220" s="3">
        <v>2</v>
      </c>
      <c r="G220" s="8" t="s">
        <v>577</v>
      </c>
      <c r="H220" s="4"/>
      <c r="I220" s="4"/>
      <c r="J220" s="4"/>
      <c r="K220" s="4"/>
      <c r="L220" s="3">
        <f t="shared" si="6"/>
        <v>2</v>
      </c>
      <c r="M220" s="4"/>
      <c r="N220" s="4"/>
      <c r="O220" s="4"/>
      <c r="P220" s="4"/>
      <c r="Q220" s="4"/>
      <c r="R220" s="4"/>
      <c r="S220" s="3">
        <f t="shared" si="7"/>
        <v>0</v>
      </c>
      <c r="T220" s="5"/>
    </row>
    <row r="221" spans="1:20" ht="42.75" x14ac:dyDescent="0.25">
      <c r="A221" s="3" t="s">
        <v>285</v>
      </c>
      <c r="B221" s="3" t="s">
        <v>282</v>
      </c>
      <c r="C221" s="3">
        <v>2</v>
      </c>
      <c r="D221" s="3">
        <v>7</v>
      </c>
      <c r="E221" s="2" t="s">
        <v>499</v>
      </c>
      <c r="F221" s="3">
        <v>16</v>
      </c>
      <c r="G221" s="8" t="s">
        <v>578</v>
      </c>
      <c r="H221" s="4">
        <v>4</v>
      </c>
      <c r="I221" s="4"/>
      <c r="J221" s="4"/>
      <c r="K221" s="4"/>
      <c r="L221" s="3">
        <f t="shared" si="6"/>
        <v>12</v>
      </c>
      <c r="M221" s="4"/>
      <c r="N221" s="4"/>
      <c r="O221" s="4"/>
      <c r="P221" s="4"/>
      <c r="Q221" s="4"/>
      <c r="R221" s="4"/>
      <c r="S221" s="3">
        <f t="shared" si="7"/>
        <v>0</v>
      </c>
      <c r="T221" s="5"/>
    </row>
    <row r="222" spans="1:20" ht="28.5" x14ac:dyDescent="0.25">
      <c r="A222" s="3" t="s">
        <v>285</v>
      </c>
      <c r="B222" s="3" t="s">
        <v>282</v>
      </c>
      <c r="C222" s="3">
        <v>2</v>
      </c>
      <c r="D222" s="3">
        <v>8</v>
      </c>
      <c r="E222" s="2" t="s">
        <v>500</v>
      </c>
      <c r="F222" s="3">
        <v>6</v>
      </c>
      <c r="G222" s="8" t="s">
        <v>578</v>
      </c>
      <c r="H222" s="4">
        <v>1</v>
      </c>
      <c r="I222" s="4"/>
      <c r="J222" s="4"/>
      <c r="K222" s="4">
        <v>1</v>
      </c>
      <c r="L222" s="3">
        <f t="shared" si="6"/>
        <v>4</v>
      </c>
      <c r="M222" s="4"/>
      <c r="N222" s="4">
        <v>1</v>
      </c>
      <c r="O222" s="4"/>
      <c r="P222" s="4"/>
      <c r="Q222" s="4"/>
      <c r="R222" s="4"/>
      <c r="S222" s="3">
        <f t="shared" si="7"/>
        <v>1</v>
      </c>
      <c r="T222" s="5"/>
    </row>
    <row r="223" spans="1:20" ht="42.75" x14ac:dyDescent="0.25">
      <c r="A223" s="3" t="s">
        <v>285</v>
      </c>
      <c r="B223" s="3" t="s">
        <v>282</v>
      </c>
      <c r="C223" s="3">
        <v>2</v>
      </c>
      <c r="D223" s="3">
        <v>9</v>
      </c>
      <c r="E223" s="2" t="s">
        <v>501</v>
      </c>
      <c r="F223" s="3">
        <v>19</v>
      </c>
      <c r="G223" s="4" t="s">
        <v>578</v>
      </c>
      <c r="H223" s="4">
        <v>3</v>
      </c>
      <c r="I223" s="4"/>
      <c r="J223" s="4"/>
      <c r="K223" s="4"/>
      <c r="L223" s="3">
        <f t="shared" si="6"/>
        <v>16</v>
      </c>
      <c r="M223" s="4"/>
      <c r="N223" s="4"/>
      <c r="O223" s="4"/>
      <c r="P223" s="4"/>
      <c r="Q223" s="4"/>
      <c r="R223" s="4"/>
      <c r="S223" s="3">
        <f t="shared" si="7"/>
        <v>0</v>
      </c>
      <c r="T223" s="5"/>
    </row>
    <row r="224" spans="1:20" ht="28.5" x14ac:dyDescent="0.25">
      <c r="A224" s="3" t="s">
        <v>285</v>
      </c>
      <c r="B224" s="3" t="s">
        <v>282</v>
      </c>
      <c r="C224" s="3">
        <v>2</v>
      </c>
      <c r="D224" s="3">
        <v>10</v>
      </c>
      <c r="E224" s="2" t="s">
        <v>502</v>
      </c>
      <c r="F224" s="3">
        <v>14</v>
      </c>
      <c r="G224" s="8" t="s">
        <v>578</v>
      </c>
      <c r="H224" s="4">
        <v>2</v>
      </c>
      <c r="I224" s="4">
        <v>1</v>
      </c>
      <c r="J224" s="4"/>
      <c r="K224" s="4"/>
      <c r="L224" s="3">
        <f t="shared" si="6"/>
        <v>11</v>
      </c>
      <c r="M224" s="4"/>
      <c r="N224" s="4"/>
      <c r="O224" s="4"/>
      <c r="P224" s="4"/>
      <c r="Q224" s="4"/>
      <c r="R224" s="4"/>
      <c r="S224" s="3">
        <f t="shared" si="7"/>
        <v>0</v>
      </c>
      <c r="T224" s="5"/>
    </row>
    <row r="225" spans="1:20" ht="28.5" x14ac:dyDescent="0.25">
      <c r="A225" s="3" t="s">
        <v>285</v>
      </c>
      <c r="B225" s="3" t="s">
        <v>282</v>
      </c>
      <c r="C225" s="3">
        <v>2</v>
      </c>
      <c r="D225" s="3">
        <v>11</v>
      </c>
      <c r="E225" s="2" t="s">
        <v>503</v>
      </c>
      <c r="F225" s="3">
        <v>9</v>
      </c>
      <c r="G225" s="8" t="s">
        <v>578</v>
      </c>
      <c r="H225" s="4">
        <v>1</v>
      </c>
      <c r="I225" s="4"/>
      <c r="J225" s="4"/>
      <c r="K225" s="4">
        <v>2</v>
      </c>
      <c r="L225" s="3">
        <f t="shared" si="6"/>
        <v>6</v>
      </c>
      <c r="M225" s="4"/>
      <c r="N225" s="4">
        <v>2</v>
      </c>
      <c r="O225" s="4"/>
      <c r="P225" s="4"/>
      <c r="Q225" s="4"/>
      <c r="R225" s="4"/>
      <c r="S225" s="3">
        <f t="shared" si="7"/>
        <v>2</v>
      </c>
      <c r="T225" s="5"/>
    </row>
    <row r="226" spans="1:20" ht="28.5" x14ac:dyDescent="0.25">
      <c r="A226" s="3" t="s">
        <v>287</v>
      </c>
      <c r="B226" s="3" t="s">
        <v>282</v>
      </c>
      <c r="C226" s="3">
        <v>3</v>
      </c>
      <c r="D226" s="3">
        <v>1</v>
      </c>
      <c r="E226" s="2" t="s">
        <v>504</v>
      </c>
      <c r="F226" s="3">
        <v>9</v>
      </c>
      <c r="G226" s="4" t="s">
        <v>578</v>
      </c>
      <c r="H226" s="4">
        <v>1</v>
      </c>
      <c r="I226" s="4">
        <v>1</v>
      </c>
      <c r="J226" s="4"/>
      <c r="K226" s="4"/>
      <c r="L226" s="3">
        <f t="shared" si="6"/>
        <v>7</v>
      </c>
      <c r="M226" s="4"/>
      <c r="N226" s="4"/>
      <c r="O226" s="4"/>
      <c r="P226" s="4"/>
      <c r="Q226" s="4"/>
      <c r="R226" s="4"/>
      <c r="S226" s="3">
        <f t="shared" si="7"/>
        <v>0</v>
      </c>
      <c r="T226" s="5"/>
    </row>
    <row r="227" spans="1:20" ht="28.5" x14ac:dyDescent="0.25">
      <c r="A227" s="3" t="s">
        <v>287</v>
      </c>
      <c r="B227" s="3" t="s">
        <v>282</v>
      </c>
      <c r="C227" s="3">
        <v>3</v>
      </c>
      <c r="D227" s="3">
        <v>2</v>
      </c>
      <c r="E227" s="2" t="s">
        <v>505</v>
      </c>
      <c r="F227" s="3">
        <v>4</v>
      </c>
      <c r="G227" s="8" t="s">
        <v>578</v>
      </c>
      <c r="H227" s="4">
        <v>1</v>
      </c>
      <c r="I227" s="4"/>
      <c r="J227" s="4"/>
      <c r="K227" s="4"/>
      <c r="L227" s="3">
        <f t="shared" si="6"/>
        <v>3</v>
      </c>
      <c r="M227" s="4"/>
      <c r="N227" s="4"/>
      <c r="O227" s="4"/>
      <c r="P227" s="4"/>
      <c r="Q227" s="4"/>
      <c r="R227" s="4"/>
      <c r="S227" s="3">
        <f t="shared" si="7"/>
        <v>0</v>
      </c>
      <c r="T227" s="5"/>
    </row>
    <row r="228" spans="1:20" ht="28.5" x14ac:dyDescent="0.25">
      <c r="A228" s="3" t="s">
        <v>287</v>
      </c>
      <c r="B228" s="3" t="s">
        <v>282</v>
      </c>
      <c r="C228" s="3">
        <v>3</v>
      </c>
      <c r="D228" s="3">
        <v>3</v>
      </c>
      <c r="E228" s="2" t="s">
        <v>506</v>
      </c>
      <c r="F228" s="3">
        <v>13</v>
      </c>
      <c r="G228" s="8" t="s">
        <v>578</v>
      </c>
      <c r="H228" s="4">
        <v>1</v>
      </c>
      <c r="I228" s="4"/>
      <c r="J228" s="4"/>
      <c r="K228" s="4">
        <v>1</v>
      </c>
      <c r="L228" s="3">
        <f t="shared" si="6"/>
        <v>11</v>
      </c>
      <c r="M228" s="4"/>
      <c r="N228" s="4">
        <v>1</v>
      </c>
      <c r="O228" s="4"/>
      <c r="P228" s="4"/>
      <c r="Q228" s="4"/>
      <c r="R228" s="4"/>
      <c r="S228" s="3">
        <f t="shared" si="7"/>
        <v>1</v>
      </c>
      <c r="T228" s="5"/>
    </row>
    <row r="229" spans="1:20" ht="28.5" x14ac:dyDescent="0.25">
      <c r="A229" s="3" t="s">
        <v>287</v>
      </c>
      <c r="B229" s="3" t="s">
        <v>282</v>
      </c>
      <c r="C229" s="3">
        <v>3</v>
      </c>
      <c r="D229" s="3">
        <v>4</v>
      </c>
      <c r="E229" s="2" t="s">
        <v>507</v>
      </c>
      <c r="F229" s="3">
        <v>10</v>
      </c>
      <c r="G229" s="8" t="s">
        <v>578</v>
      </c>
      <c r="H229" s="4">
        <v>2</v>
      </c>
      <c r="I229" s="4">
        <v>1</v>
      </c>
      <c r="J229" s="4"/>
      <c r="K229" s="4"/>
      <c r="L229" s="3">
        <f t="shared" si="6"/>
        <v>7</v>
      </c>
      <c r="M229" s="4"/>
      <c r="N229" s="4"/>
      <c r="O229" s="4"/>
      <c r="P229" s="4"/>
      <c r="Q229" s="4"/>
      <c r="R229" s="4"/>
      <c r="S229" s="3">
        <f t="shared" si="7"/>
        <v>0</v>
      </c>
      <c r="T229" s="5"/>
    </row>
    <row r="230" spans="1:20" ht="28.5" x14ac:dyDescent="0.25">
      <c r="A230" s="3" t="s">
        <v>287</v>
      </c>
      <c r="B230" s="3" t="s">
        <v>282</v>
      </c>
      <c r="C230" s="3">
        <v>3</v>
      </c>
      <c r="D230" s="3">
        <v>5</v>
      </c>
      <c r="E230" s="2" t="s">
        <v>508</v>
      </c>
      <c r="F230" s="3">
        <v>5</v>
      </c>
      <c r="G230" s="8" t="s">
        <v>578</v>
      </c>
      <c r="H230" s="4"/>
      <c r="I230" s="4"/>
      <c r="J230" s="4"/>
      <c r="K230" s="4"/>
      <c r="L230" s="3">
        <f t="shared" si="6"/>
        <v>5</v>
      </c>
      <c r="M230" s="4"/>
      <c r="N230" s="4"/>
      <c r="O230" s="4"/>
      <c r="P230" s="4"/>
      <c r="Q230" s="4"/>
      <c r="R230" s="4"/>
      <c r="S230" s="3">
        <f t="shared" si="7"/>
        <v>0</v>
      </c>
      <c r="T230" s="5"/>
    </row>
    <row r="231" spans="1:20" ht="28.5" x14ac:dyDescent="0.25">
      <c r="A231" s="3" t="s">
        <v>287</v>
      </c>
      <c r="B231" s="3" t="s">
        <v>282</v>
      </c>
      <c r="C231" s="3">
        <v>3</v>
      </c>
      <c r="D231" s="3">
        <v>6</v>
      </c>
      <c r="E231" s="2" t="s">
        <v>509</v>
      </c>
      <c r="F231" s="3">
        <v>9</v>
      </c>
      <c r="G231" s="8" t="s">
        <v>578</v>
      </c>
      <c r="H231" s="4">
        <v>1</v>
      </c>
      <c r="I231" s="4"/>
      <c r="J231" s="4"/>
      <c r="K231" s="4">
        <v>1</v>
      </c>
      <c r="L231" s="3">
        <f t="shared" si="6"/>
        <v>7</v>
      </c>
      <c r="M231" s="4"/>
      <c r="N231" s="4">
        <v>1</v>
      </c>
      <c r="O231" s="4"/>
      <c r="P231" s="4"/>
      <c r="Q231" s="4"/>
      <c r="R231" s="4"/>
      <c r="S231" s="3">
        <f t="shared" si="7"/>
        <v>1</v>
      </c>
      <c r="T231" s="5"/>
    </row>
    <row r="232" spans="1:20" ht="42.75" x14ac:dyDescent="0.25">
      <c r="A232" s="3" t="s">
        <v>287</v>
      </c>
      <c r="B232" s="3" t="s">
        <v>282</v>
      </c>
      <c r="C232" s="3">
        <v>3</v>
      </c>
      <c r="D232" s="3">
        <v>7</v>
      </c>
      <c r="E232" s="2" t="s">
        <v>510</v>
      </c>
      <c r="F232" s="3">
        <v>14</v>
      </c>
      <c r="G232" s="8" t="s">
        <v>578</v>
      </c>
      <c r="H232" s="4">
        <v>2</v>
      </c>
      <c r="I232" s="4"/>
      <c r="J232" s="4"/>
      <c r="K232" s="4"/>
      <c r="L232" s="3">
        <f t="shared" si="6"/>
        <v>12</v>
      </c>
      <c r="M232" s="4"/>
      <c r="N232" s="4"/>
      <c r="O232" s="4"/>
      <c r="P232" s="4"/>
      <c r="Q232" s="4"/>
      <c r="R232" s="4"/>
      <c r="S232" s="3">
        <f t="shared" si="7"/>
        <v>0</v>
      </c>
      <c r="T232" s="5"/>
    </row>
    <row r="233" spans="1:20" ht="28.5" x14ac:dyDescent="0.25">
      <c r="A233" s="3" t="s">
        <v>287</v>
      </c>
      <c r="B233" s="3" t="s">
        <v>282</v>
      </c>
      <c r="C233" s="3">
        <v>3</v>
      </c>
      <c r="D233" s="3">
        <v>8</v>
      </c>
      <c r="E233" s="2" t="s">
        <v>511</v>
      </c>
      <c r="F233" s="3">
        <v>5</v>
      </c>
      <c r="G233" s="8" t="s">
        <v>578</v>
      </c>
      <c r="H233" s="4">
        <v>2</v>
      </c>
      <c r="I233" s="4">
        <v>1</v>
      </c>
      <c r="J233" s="4"/>
      <c r="K233" s="4"/>
      <c r="L233" s="3">
        <f t="shared" si="6"/>
        <v>2</v>
      </c>
      <c r="M233" s="4"/>
      <c r="N233" s="4"/>
      <c r="O233" s="4"/>
      <c r="P233" s="4"/>
      <c r="Q233" s="4"/>
      <c r="R233" s="4"/>
      <c r="S233" s="3">
        <f t="shared" si="7"/>
        <v>0</v>
      </c>
      <c r="T233" s="5"/>
    </row>
    <row r="234" spans="1:20" ht="28.5" x14ac:dyDescent="0.25">
      <c r="A234" s="3" t="s">
        <v>287</v>
      </c>
      <c r="B234" s="3" t="s">
        <v>282</v>
      </c>
      <c r="C234" s="3">
        <v>3</v>
      </c>
      <c r="D234" s="3">
        <v>9</v>
      </c>
      <c r="E234" s="2" t="s">
        <v>512</v>
      </c>
      <c r="F234" s="3">
        <v>9</v>
      </c>
      <c r="G234" s="8" t="s">
        <v>578</v>
      </c>
      <c r="H234" s="4">
        <v>1</v>
      </c>
      <c r="I234" s="4"/>
      <c r="J234" s="4"/>
      <c r="K234" s="4">
        <v>1</v>
      </c>
      <c r="L234" s="3">
        <f t="shared" si="6"/>
        <v>7</v>
      </c>
      <c r="M234" s="4"/>
      <c r="N234" s="4">
        <v>1</v>
      </c>
      <c r="O234" s="4"/>
      <c r="P234" s="4"/>
      <c r="Q234" s="4"/>
      <c r="R234" s="4"/>
      <c r="S234" s="3">
        <f t="shared" si="7"/>
        <v>1</v>
      </c>
      <c r="T234" s="5"/>
    </row>
    <row r="235" spans="1:20" ht="28.5" x14ac:dyDescent="0.25">
      <c r="A235" s="3" t="s">
        <v>287</v>
      </c>
      <c r="B235" s="3" t="s">
        <v>282</v>
      </c>
      <c r="C235" s="3">
        <v>3</v>
      </c>
      <c r="D235" s="3">
        <v>10</v>
      </c>
      <c r="E235" s="2" t="s">
        <v>513</v>
      </c>
      <c r="F235" s="3">
        <v>11</v>
      </c>
      <c r="G235" s="8" t="s">
        <v>578</v>
      </c>
      <c r="H235" s="4">
        <v>1</v>
      </c>
      <c r="I235" s="4">
        <v>1</v>
      </c>
      <c r="J235" s="4"/>
      <c r="K235" s="4"/>
      <c r="L235" s="3">
        <f t="shared" si="6"/>
        <v>9</v>
      </c>
      <c r="M235" s="4"/>
      <c r="N235" s="4"/>
      <c r="O235" s="4"/>
      <c r="P235" s="4"/>
      <c r="Q235" s="4"/>
      <c r="R235" s="4"/>
      <c r="S235" s="3">
        <f t="shared" si="7"/>
        <v>0</v>
      </c>
      <c r="T235" s="5"/>
    </row>
    <row r="236" spans="1:20" ht="28.5" x14ac:dyDescent="0.25">
      <c r="A236" s="3" t="s">
        <v>289</v>
      </c>
      <c r="B236" s="3" t="s">
        <v>282</v>
      </c>
      <c r="C236" s="3">
        <v>4</v>
      </c>
      <c r="D236" s="3">
        <v>1</v>
      </c>
      <c r="E236" s="2" t="s">
        <v>514</v>
      </c>
      <c r="F236" s="3">
        <v>2</v>
      </c>
      <c r="G236" s="8" t="s">
        <v>578</v>
      </c>
      <c r="H236" s="4"/>
      <c r="I236" s="4"/>
      <c r="J236" s="4"/>
      <c r="K236" s="4">
        <v>1</v>
      </c>
      <c r="L236" s="3">
        <f t="shared" si="6"/>
        <v>1</v>
      </c>
      <c r="M236" s="4"/>
      <c r="N236" s="4">
        <v>1</v>
      </c>
      <c r="O236" s="4"/>
      <c r="P236" s="4"/>
      <c r="Q236" s="4"/>
      <c r="R236" s="4"/>
      <c r="S236" s="3">
        <f t="shared" si="7"/>
        <v>1</v>
      </c>
      <c r="T236" s="5"/>
    </row>
    <row r="237" spans="1:20" ht="28.5" x14ac:dyDescent="0.25">
      <c r="A237" s="3" t="s">
        <v>289</v>
      </c>
      <c r="B237" s="3" t="s">
        <v>282</v>
      </c>
      <c r="C237" s="3">
        <v>4</v>
      </c>
      <c r="D237" s="3">
        <v>2</v>
      </c>
      <c r="E237" s="2" t="s">
        <v>515</v>
      </c>
      <c r="F237" s="3">
        <v>3</v>
      </c>
      <c r="G237" s="8" t="s">
        <v>578</v>
      </c>
      <c r="H237" s="4">
        <v>1</v>
      </c>
      <c r="I237" s="4"/>
      <c r="J237" s="4"/>
      <c r="K237" s="4">
        <v>1</v>
      </c>
      <c r="L237" s="3">
        <f t="shared" si="6"/>
        <v>1</v>
      </c>
      <c r="M237" s="4"/>
      <c r="N237" s="4">
        <v>1</v>
      </c>
      <c r="O237" s="4"/>
      <c r="P237" s="4"/>
      <c r="Q237" s="4"/>
      <c r="R237" s="4"/>
      <c r="S237" s="3">
        <f t="shared" si="7"/>
        <v>1</v>
      </c>
      <c r="T237" s="5"/>
    </row>
    <row r="238" spans="1:20" x14ac:dyDescent="0.25">
      <c r="A238" s="3" t="s">
        <v>289</v>
      </c>
      <c r="B238" s="3" t="s">
        <v>282</v>
      </c>
      <c r="C238" s="3">
        <v>4</v>
      </c>
      <c r="D238" s="3">
        <v>3</v>
      </c>
      <c r="E238" s="2" t="s">
        <v>516</v>
      </c>
      <c r="F238" s="3">
        <v>1</v>
      </c>
      <c r="G238" s="8" t="s">
        <v>577</v>
      </c>
      <c r="H238" s="4"/>
      <c r="I238" s="4"/>
      <c r="J238" s="4"/>
      <c r="K238" s="4"/>
      <c r="L238" s="3">
        <f t="shared" si="6"/>
        <v>1</v>
      </c>
      <c r="M238" s="4"/>
      <c r="N238" s="4"/>
      <c r="O238" s="4"/>
      <c r="P238" s="4"/>
      <c r="Q238" s="4"/>
      <c r="R238" s="4"/>
      <c r="S238" s="3">
        <f t="shared" si="7"/>
        <v>0</v>
      </c>
      <c r="T238" s="5"/>
    </row>
    <row r="239" spans="1:20" ht="42.75" x14ac:dyDescent="0.25">
      <c r="A239" s="3" t="s">
        <v>289</v>
      </c>
      <c r="B239" s="3" t="s">
        <v>282</v>
      </c>
      <c r="C239" s="3">
        <v>4</v>
      </c>
      <c r="D239" s="3">
        <v>4</v>
      </c>
      <c r="E239" s="2" t="s">
        <v>517</v>
      </c>
      <c r="F239" s="3">
        <v>14</v>
      </c>
      <c r="G239" s="8" t="s">
        <v>578</v>
      </c>
      <c r="H239" s="4">
        <v>5</v>
      </c>
      <c r="I239" s="4"/>
      <c r="J239" s="4"/>
      <c r="K239" s="4">
        <v>2</v>
      </c>
      <c r="L239" s="3">
        <f t="shared" si="6"/>
        <v>7</v>
      </c>
      <c r="M239" s="4"/>
      <c r="N239" s="4">
        <v>2</v>
      </c>
      <c r="O239" s="4"/>
      <c r="P239" s="4"/>
      <c r="Q239" s="4"/>
      <c r="R239" s="4"/>
      <c r="S239" s="3">
        <f t="shared" si="7"/>
        <v>2</v>
      </c>
      <c r="T239" s="5"/>
    </row>
    <row r="240" spans="1:20" ht="28.5" x14ac:dyDescent="0.25">
      <c r="A240" s="3" t="s">
        <v>289</v>
      </c>
      <c r="B240" s="3" t="s">
        <v>282</v>
      </c>
      <c r="C240" s="3">
        <v>4</v>
      </c>
      <c r="D240" s="3">
        <v>5</v>
      </c>
      <c r="E240" s="2" t="s">
        <v>518</v>
      </c>
      <c r="F240" s="3">
        <v>2</v>
      </c>
      <c r="G240" s="8" t="s">
        <v>578</v>
      </c>
      <c r="H240" s="4"/>
      <c r="I240" s="4"/>
      <c r="J240" s="4"/>
      <c r="K240" s="4"/>
      <c r="L240" s="3">
        <f t="shared" si="6"/>
        <v>2</v>
      </c>
      <c r="M240" s="4"/>
      <c r="N240" s="4"/>
      <c r="O240" s="4"/>
      <c r="P240" s="4"/>
      <c r="Q240" s="4"/>
      <c r="R240" s="4"/>
      <c r="S240" s="3">
        <f t="shared" si="7"/>
        <v>0</v>
      </c>
      <c r="T240" s="5"/>
    </row>
    <row r="241" spans="1:20" ht="28.5" x14ac:dyDescent="0.25">
      <c r="A241" s="3" t="s">
        <v>289</v>
      </c>
      <c r="B241" s="3" t="s">
        <v>282</v>
      </c>
      <c r="C241" s="3">
        <v>4</v>
      </c>
      <c r="D241" s="3">
        <v>6</v>
      </c>
      <c r="E241" s="2" t="s">
        <v>519</v>
      </c>
      <c r="F241" s="3">
        <v>11</v>
      </c>
      <c r="G241" s="8" t="s">
        <v>578</v>
      </c>
      <c r="H241" s="4">
        <v>4</v>
      </c>
      <c r="I241" s="4"/>
      <c r="J241" s="4"/>
      <c r="K241" s="4">
        <v>1</v>
      </c>
      <c r="L241" s="3">
        <f t="shared" si="6"/>
        <v>6</v>
      </c>
      <c r="M241" s="4"/>
      <c r="N241" s="4">
        <v>1</v>
      </c>
      <c r="O241" s="4"/>
      <c r="P241" s="4"/>
      <c r="Q241" s="4"/>
      <c r="R241" s="4"/>
      <c r="S241" s="3">
        <f t="shared" si="7"/>
        <v>1</v>
      </c>
      <c r="T241" s="5"/>
    </row>
    <row r="242" spans="1:20" ht="28.5" x14ac:dyDescent="0.25">
      <c r="A242" s="3" t="s">
        <v>289</v>
      </c>
      <c r="B242" s="3" t="s">
        <v>282</v>
      </c>
      <c r="C242" s="3">
        <v>4</v>
      </c>
      <c r="D242" s="3">
        <v>7</v>
      </c>
      <c r="E242" s="2" t="s">
        <v>520</v>
      </c>
      <c r="F242" s="3">
        <v>4</v>
      </c>
      <c r="G242" s="8" t="s">
        <v>578</v>
      </c>
      <c r="H242" s="4">
        <v>1</v>
      </c>
      <c r="I242" s="4"/>
      <c r="J242" s="4">
        <v>1</v>
      </c>
      <c r="K242" s="4"/>
      <c r="L242" s="3">
        <f t="shared" si="6"/>
        <v>2</v>
      </c>
      <c r="M242" s="4"/>
      <c r="N242" s="4"/>
      <c r="O242" s="4"/>
      <c r="P242" s="4"/>
      <c r="Q242" s="4"/>
      <c r="R242" s="4"/>
      <c r="S242" s="3">
        <f t="shared" si="7"/>
        <v>0</v>
      </c>
      <c r="T242" s="5"/>
    </row>
    <row r="243" spans="1:20" ht="42.75" x14ac:dyDescent="0.25">
      <c r="A243" s="3" t="s">
        <v>289</v>
      </c>
      <c r="B243" s="3" t="s">
        <v>282</v>
      </c>
      <c r="C243" s="3">
        <v>4</v>
      </c>
      <c r="D243" s="3">
        <v>8</v>
      </c>
      <c r="E243" s="2" t="s">
        <v>521</v>
      </c>
      <c r="F243" s="3">
        <v>19</v>
      </c>
      <c r="G243" s="8" t="s">
        <v>578</v>
      </c>
      <c r="H243" s="4">
        <v>6</v>
      </c>
      <c r="I243" s="4"/>
      <c r="J243" s="4"/>
      <c r="K243" s="4">
        <v>1</v>
      </c>
      <c r="L243" s="3">
        <f t="shared" si="6"/>
        <v>12</v>
      </c>
      <c r="M243" s="4"/>
      <c r="N243" s="4">
        <v>1</v>
      </c>
      <c r="O243" s="4"/>
      <c r="P243" s="4"/>
      <c r="Q243" s="4"/>
      <c r="R243" s="4"/>
      <c r="S243" s="3">
        <f t="shared" si="7"/>
        <v>1</v>
      </c>
      <c r="T243" s="5"/>
    </row>
    <row r="244" spans="1:20" ht="28.5" x14ac:dyDescent="0.25">
      <c r="A244" s="3" t="s">
        <v>289</v>
      </c>
      <c r="B244" s="3" t="s">
        <v>282</v>
      </c>
      <c r="C244" s="3">
        <v>4</v>
      </c>
      <c r="D244" s="3">
        <v>9</v>
      </c>
      <c r="E244" s="2" t="s">
        <v>522</v>
      </c>
      <c r="F244" s="3">
        <v>9</v>
      </c>
      <c r="G244" s="8" t="s">
        <v>578</v>
      </c>
      <c r="H244" s="4">
        <v>5</v>
      </c>
      <c r="I244" s="4"/>
      <c r="J244" s="4"/>
      <c r="K244" s="4">
        <v>1</v>
      </c>
      <c r="L244" s="3">
        <f t="shared" si="6"/>
        <v>3</v>
      </c>
      <c r="M244" s="4"/>
      <c r="N244" s="4">
        <v>1</v>
      </c>
      <c r="O244" s="4"/>
      <c r="P244" s="4"/>
      <c r="Q244" s="4"/>
      <c r="R244" s="4"/>
      <c r="S244" s="3">
        <f t="shared" si="7"/>
        <v>1</v>
      </c>
      <c r="T244" s="5"/>
    </row>
    <row r="245" spans="1:20" ht="57" x14ac:dyDescent="0.25">
      <c r="A245" s="3" t="s">
        <v>289</v>
      </c>
      <c r="B245" s="3" t="s">
        <v>282</v>
      </c>
      <c r="C245" s="3">
        <v>4</v>
      </c>
      <c r="D245" s="3">
        <v>10</v>
      </c>
      <c r="E245" s="2" t="s">
        <v>523</v>
      </c>
      <c r="F245" s="3">
        <v>18</v>
      </c>
      <c r="G245" s="8" t="s">
        <v>578</v>
      </c>
      <c r="H245" s="4">
        <v>7</v>
      </c>
      <c r="I245" s="4"/>
      <c r="J245" s="4"/>
      <c r="K245" s="4">
        <v>2</v>
      </c>
      <c r="L245" s="3">
        <f t="shared" si="6"/>
        <v>9</v>
      </c>
      <c r="M245" s="4"/>
      <c r="N245" s="4">
        <v>2</v>
      </c>
      <c r="O245" s="4"/>
      <c r="P245" s="4"/>
      <c r="Q245" s="4"/>
      <c r="R245" s="4"/>
      <c r="S245" s="3">
        <f t="shared" si="7"/>
        <v>2</v>
      </c>
      <c r="T245" s="5"/>
    </row>
    <row r="246" spans="1:20" ht="28.5" x14ac:dyDescent="0.25">
      <c r="A246" s="3" t="s">
        <v>289</v>
      </c>
      <c r="B246" s="3" t="s">
        <v>282</v>
      </c>
      <c r="C246" s="3">
        <v>4</v>
      </c>
      <c r="D246" s="3">
        <v>11</v>
      </c>
      <c r="E246" s="2" t="s">
        <v>524</v>
      </c>
      <c r="F246" s="3">
        <v>6</v>
      </c>
      <c r="G246" s="8" t="s">
        <v>578</v>
      </c>
      <c r="H246" s="4">
        <v>3</v>
      </c>
      <c r="I246" s="4"/>
      <c r="J246" s="4"/>
      <c r="K246" s="4"/>
      <c r="L246" s="3">
        <f t="shared" si="6"/>
        <v>3</v>
      </c>
      <c r="M246" s="4"/>
      <c r="N246" s="4"/>
      <c r="O246" s="4"/>
      <c r="P246" s="4"/>
      <c r="Q246" s="4"/>
      <c r="R246" s="4"/>
      <c r="S246" s="3">
        <f t="shared" si="7"/>
        <v>0</v>
      </c>
      <c r="T246" s="5"/>
    </row>
    <row r="247" spans="1:20" x14ac:dyDescent="0.25">
      <c r="A247" s="3" t="s">
        <v>291</v>
      </c>
      <c r="B247" s="3" t="s">
        <v>282</v>
      </c>
      <c r="C247" s="3">
        <v>5</v>
      </c>
      <c r="D247" s="3">
        <v>1</v>
      </c>
      <c r="E247" s="2" t="s">
        <v>493</v>
      </c>
      <c r="F247" s="3">
        <v>3</v>
      </c>
      <c r="G247" s="8" t="s">
        <v>577</v>
      </c>
      <c r="H247" s="4"/>
      <c r="I247" s="4"/>
      <c r="J247" s="4"/>
      <c r="K247" s="4"/>
      <c r="L247" s="3">
        <f t="shared" si="6"/>
        <v>3</v>
      </c>
      <c r="M247" s="4"/>
      <c r="N247" s="4"/>
      <c r="O247" s="4"/>
      <c r="P247" s="4"/>
      <c r="Q247" s="4"/>
      <c r="R247" s="4"/>
      <c r="S247" s="3">
        <f t="shared" si="7"/>
        <v>0</v>
      </c>
      <c r="T247" s="5"/>
    </row>
    <row r="248" spans="1:20" ht="28.5" x14ac:dyDescent="0.25">
      <c r="A248" s="3" t="s">
        <v>291</v>
      </c>
      <c r="B248" s="3" t="s">
        <v>282</v>
      </c>
      <c r="C248" s="3">
        <v>5</v>
      </c>
      <c r="D248" s="3">
        <v>2</v>
      </c>
      <c r="E248" s="2" t="s">
        <v>525</v>
      </c>
      <c r="F248" s="3">
        <v>2</v>
      </c>
      <c r="G248" s="8" t="s">
        <v>578</v>
      </c>
      <c r="H248" s="4"/>
      <c r="I248" s="4">
        <v>1</v>
      </c>
      <c r="J248" s="4"/>
      <c r="K248" s="4"/>
      <c r="L248" s="3">
        <f t="shared" si="6"/>
        <v>1</v>
      </c>
      <c r="M248" s="4"/>
      <c r="N248" s="4"/>
      <c r="O248" s="4"/>
      <c r="P248" s="4"/>
      <c r="Q248" s="4"/>
      <c r="R248" s="4"/>
      <c r="S248" s="3">
        <f t="shared" si="7"/>
        <v>0</v>
      </c>
      <c r="T248" s="5"/>
    </row>
    <row r="249" spans="1:20" ht="57" x14ac:dyDescent="0.25">
      <c r="A249" s="3" t="s">
        <v>291</v>
      </c>
      <c r="B249" s="3" t="s">
        <v>282</v>
      </c>
      <c r="C249" s="3">
        <v>5</v>
      </c>
      <c r="D249" s="3">
        <v>3</v>
      </c>
      <c r="E249" s="2" t="s">
        <v>526</v>
      </c>
      <c r="F249" s="3">
        <v>22</v>
      </c>
      <c r="G249" s="8" t="s">
        <v>578</v>
      </c>
      <c r="H249" s="4">
        <v>7</v>
      </c>
      <c r="I249" s="4"/>
      <c r="J249" s="4"/>
      <c r="K249" s="4"/>
      <c r="L249" s="3">
        <f t="shared" si="6"/>
        <v>15</v>
      </c>
      <c r="M249" s="4"/>
      <c r="N249" s="4"/>
      <c r="O249" s="4"/>
      <c r="P249" s="4"/>
      <c r="Q249" s="4"/>
      <c r="R249" s="4"/>
      <c r="S249" s="3">
        <f t="shared" si="7"/>
        <v>0</v>
      </c>
      <c r="T249" s="5"/>
    </row>
    <row r="250" spans="1:20" ht="28.5" x14ac:dyDescent="0.25">
      <c r="A250" s="3" t="s">
        <v>291</v>
      </c>
      <c r="B250" s="3" t="s">
        <v>282</v>
      </c>
      <c r="C250" s="3">
        <v>5</v>
      </c>
      <c r="D250" s="3">
        <v>4</v>
      </c>
      <c r="E250" s="2" t="s">
        <v>527</v>
      </c>
      <c r="F250" s="3">
        <v>11</v>
      </c>
      <c r="G250" s="8" t="s">
        <v>578</v>
      </c>
      <c r="H250" s="4">
        <v>3</v>
      </c>
      <c r="I250" s="4">
        <v>1</v>
      </c>
      <c r="J250" s="4"/>
      <c r="K250" s="4"/>
      <c r="L250" s="3">
        <f t="shared" si="6"/>
        <v>7</v>
      </c>
      <c r="M250" s="4"/>
      <c r="N250" s="4"/>
      <c r="O250" s="4"/>
      <c r="P250" s="4"/>
      <c r="Q250" s="4"/>
      <c r="R250" s="4"/>
      <c r="S250" s="3">
        <f t="shared" si="7"/>
        <v>0</v>
      </c>
      <c r="T250" s="5"/>
    </row>
    <row r="251" spans="1:20" ht="28.5" x14ac:dyDescent="0.25">
      <c r="A251" s="3" t="s">
        <v>291</v>
      </c>
      <c r="B251" s="3" t="s">
        <v>282</v>
      </c>
      <c r="C251" s="3">
        <v>5</v>
      </c>
      <c r="D251" s="3">
        <v>5</v>
      </c>
      <c r="E251" s="2" t="s">
        <v>528</v>
      </c>
      <c r="F251" s="3">
        <v>4</v>
      </c>
      <c r="G251" s="8" t="s">
        <v>578</v>
      </c>
      <c r="H251" s="4">
        <v>1</v>
      </c>
      <c r="I251" s="4"/>
      <c r="J251" s="4"/>
      <c r="K251" s="4"/>
      <c r="L251" s="3">
        <f t="shared" si="6"/>
        <v>3</v>
      </c>
      <c r="M251" s="4"/>
      <c r="N251" s="4"/>
      <c r="O251" s="4"/>
      <c r="P251" s="4"/>
      <c r="Q251" s="4"/>
      <c r="R251" s="4"/>
      <c r="S251" s="3">
        <f t="shared" si="7"/>
        <v>0</v>
      </c>
      <c r="T251" s="5"/>
    </row>
  </sheetData>
  <sheetProtection sheet="1" objects="1" scenarios="1" formatColumns="0" formatRows="0"/>
  <dataValidations count="4">
    <dataValidation type="list" allowBlank="1" showErrorMessage="1" sqref="G2:G251" xr:uid="{00000000-0002-0000-0200-000000000000}">
      <formula1>"doğru / правильно,yanlış ama anlaşılır / понятно,yanlış ve anlamsız / непонятно"</formula1>
    </dataValidation>
    <dataValidation type="whole" operator="greaterThanOrEqual" allowBlank="1" showErrorMessage="1" sqref="M2:R251 H2:K251" xr:uid="{00000000-0002-0000-0200-000001000000}">
      <formula1>0</formula1>
    </dataValidation>
    <dataValidation type="custom" allowBlank="1" showErrorMessage="1" errorTitle="Tek kod / One code / Один код" error="Her sözcük tek bir koda sayılır; kodların toplamı cümledeki sözcük sayısını geçemez._x000a_One code per word; the codes' total cannot exceed the sentence's word count._x000a_Одно слово — один код; сумма кодов не может превышать число слов." sqref="H2:K251" xr:uid="{00000000-0002-0000-0200-00000B000000}">
      <formula1>SUM($H2:$K2)&lt;=$F2</formula1>
    </dataValidation>
    <dataValidation type="custom" allowBlank="1" showErrorMessage="1" errorTitle="Tek kod / One code / Один код" error="Her sözcük tek bir koda sayılır; kodların toplamı cümledeki sözcük sayısını geçemez._x000a_One code per word; the codes' total cannot exceed the sentence's word count._x000a_Одно слово — один код; сумма кодов не может превышать число слов." sqref="M2:M251" xr:uid="{00000000-0002-0000-0200-00000C000000}">
      <formula1>SUM($H2:$K2)+$M2&lt;=$F2</formula1>
    </dataValidation>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8"/>
  <sheetViews>
    <sheetView workbookViewId="0"/>
  </sheetViews>
  <sheetFormatPr defaultRowHeight="14.25" x14ac:dyDescent="0.25"/>
  <cols>
    <col min="1" max="1" width="40" customWidth="1"/>
    <col min="2" max="9" width="16" customWidth="1"/>
  </cols>
  <sheetData>
    <row r="1" spans="1:9" x14ac:dyDescent="0.25">
      <c r="A1" s="1" t="s">
        <v>529</v>
      </c>
    </row>
    <row r="3" spans="1:9" ht="28.5" x14ac:dyDescent="0.25">
      <c r="A3" s="1" t="s">
        <v>530</v>
      </c>
    </row>
    <row r="4" spans="1:9" ht="120" customHeight="1" x14ac:dyDescent="0.25">
      <c r="A4" s="1" t="s">
        <v>531</v>
      </c>
      <c r="B4" s="1" t="s">
        <v>532</v>
      </c>
      <c r="C4" s="1" t="s">
        <v>296</v>
      </c>
      <c r="D4" s="1" t="s">
        <v>297</v>
      </c>
      <c r="E4" s="1" t="s">
        <v>298</v>
      </c>
      <c r="F4" s="1" t="s">
        <v>299</v>
      </c>
      <c r="G4" s="1" t="s">
        <v>533</v>
      </c>
      <c r="H4" s="1" t="s">
        <v>534</v>
      </c>
      <c r="I4" s="1" t="s">
        <v>535</v>
      </c>
    </row>
    <row r="5" spans="1:9" x14ac:dyDescent="0.25">
      <c r="A5" s="3" t="s">
        <v>536</v>
      </c>
      <c r="B5" s="3">
        <f>SUMIF(Responses!$C:$C,"1",Responses!$G:$G)</f>
        <v>177</v>
      </c>
      <c r="C5" s="3">
        <f>SUMIFS(Sentences!$H:$H,Sentences!$C:$C,"1")</f>
        <v>17</v>
      </c>
      <c r="D5" s="3">
        <f>SUMIFS(Sentences!$I:$I,Sentences!$C:$C,"1")</f>
        <v>9</v>
      </c>
      <c r="E5" s="3">
        <f>SUMIFS(Sentences!$J:$J,Sentences!$C:$C,"1")</f>
        <v>0</v>
      </c>
      <c r="F5" s="3">
        <f>SUMIFS(Sentences!$K:$K,Sentences!$C:$C,"1")</f>
        <v>3</v>
      </c>
      <c r="G5" s="3">
        <f>C5+D5+E5+F5</f>
        <v>29</v>
      </c>
      <c r="H5" s="3">
        <f>IF(B5=0,0,(C5+D5+E5+F5)*100/B5)</f>
        <v>16.384180790960453</v>
      </c>
      <c r="I5" s="3">
        <f>SUMIFS(Sentences!$M:$M,Sentences!$C:$C,"1")</f>
        <v>0</v>
      </c>
    </row>
    <row r="6" spans="1:9" x14ac:dyDescent="0.25">
      <c r="A6" s="3" t="s">
        <v>537</v>
      </c>
      <c r="B6" s="3">
        <f>SUMIF(Responses!$C:$C,"2",Responses!$G:$G)</f>
        <v>610</v>
      </c>
      <c r="C6" s="3">
        <f>SUMIFS(Sentences!$H:$H,Sentences!$C:$C,"2")</f>
        <v>84</v>
      </c>
      <c r="D6" s="3">
        <f>SUMIFS(Sentences!$I:$I,Sentences!$C:$C,"2")</f>
        <v>22</v>
      </c>
      <c r="E6" s="3">
        <f>SUMIFS(Sentences!$J:$J,Sentences!$C:$C,"2")</f>
        <v>15</v>
      </c>
      <c r="F6" s="3">
        <f>SUMIFS(Sentences!$K:$K,Sentences!$C:$C,"2")</f>
        <v>22</v>
      </c>
      <c r="G6" s="3">
        <f>C6+D6+E6+F6</f>
        <v>143</v>
      </c>
      <c r="H6" s="3">
        <f>IF(B6=0,0,(C6+D6+E6+F6)*100/B6)</f>
        <v>23.442622950819672</v>
      </c>
      <c r="I6" s="3">
        <f>SUMIFS(Sentences!$M:$M,Sentences!$C:$C,"2")</f>
        <v>0</v>
      </c>
    </row>
    <row r="7" spans="1:9" x14ac:dyDescent="0.25">
      <c r="A7" s="3" t="s">
        <v>538</v>
      </c>
      <c r="B7" s="3">
        <f>SUMIF(Responses!$C:$C,"3",Responses!$G:$G)</f>
        <v>246</v>
      </c>
      <c r="C7" s="3">
        <f>SUMIFS(Sentences!$H:$H,Sentences!$C:$C,"3")</f>
        <v>32</v>
      </c>
      <c r="D7" s="3">
        <f>SUMIFS(Sentences!$I:$I,Sentences!$C:$C,"3")</f>
        <v>8</v>
      </c>
      <c r="E7" s="3">
        <f>SUMIFS(Sentences!$J:$J,Sentences!$C:$C,"3")</f>
        <v>5</v>
      </c>
      <c r="F7" s="3">
        <f>SUMIFS(Sentences!$K:$K,Sentences!$C:$C,"3")</f>
        <v>5</v>
      </c>
      <c r="G7" s="3">
        <f>C7+D7+E7+F7</f>
        <v>50</v>
      </c>
      <c r="H7" s="3">
        <f>IF(B7=0,0,(C7+D7+E7+F7)*100/B7)</f>
        <v>20.325203252032519</v>
      </c>
      <c r="I7" s="3">
        <f>SUMIFS(Sentences!$M:$M,Sentences!$C:$C,"3")</f>
        <v>0</v>
      </c>
    </row>
    <row r="8" spans="1:9" x14ac:dyDescent="0.25">
      <c r="A8" s="3" t="s">
        <v>539</v>
      </c>
      <c r="B8" s="3">
        <f>SUMIF(Responses!$C:$C,"4",Responses!$G:$G)</f>
        <v>406</v>
      </c>
      <c r="C8" s="3">
        <f>SUMIFS(Sentences!$H:$H,Sentences!$C:$C,"4")</f>
        <v>51</v>
      </c>
      <c r="D8" s="3">
        <f>SUMIFS(Sentences!$I:$I,Sentences!$C:$C,"4")</f>
        <v>7</v>
      </c>
      <c r="E8" s="3">
        <f>SUMIFS(Sentences!$J:$J,Sentences!$C:$C,"4")</f>
        <v>3</v>
      </c>
      <c r="F8" s="3">
        <f>SUMIFS(Sentences!$K:$K,Sentences!$C:$C,"4")</f>
        <v>26</v>
      </c>
      <c r="G8" s="3">
        <f>C8+D8+E8+F8</f>
        <v>87</v>
      </c>
      <c r="H8" s="3">
        <f>IF(B8=0,0,(C8+D8+E8+F8)*100/B8)</f>
        <v>21.428571428571427</v>
      </c>
      <c r="I8" s="3">
        <f>SUMIFS(Sentences!$M:$M,Sentences!$C:$C,"4")</f>
        <v>0</v>
      </c>
    </row>
    <row r="9" spans="1:9" x14ac:dyDescent="0.25">
      <c r="A9" s="3" t="s">
        <v>540</v>
      </c>
      <c r="B9" s="3">
        <f>SUMIF(Responses!$C:$C,"5",Responses!$G:$G)</f>
        <v>224</v>
      </c>
      <c r="C9" s="3">
        <f>SUMIFS(Sentences!$H:$H,Sentences!$C:$C,"5")</f>
        <v>28</v>
      </c>
      <c r="D9" s="3">
        <f>SUMIFS(Sentences!$I:$I,Sentences!$C:$C,"5")</f>
        <v>7</v>
      </c>
      <c r="E9" s="3">
        <f>SUMIFS(Sentences!$J:$J,Sentences!$C:$C,"5")</f>
        <v>2</v>
      </c>
      <c r="F9" s="3">
        <f>SUMIFS(Sentences!$K:$K,Sentences!$C:$C,"5")</f>
        <v>1</v>
      </c>
      <c r="G9" s="3">
        <f>C9+D9+E9+F9</f>
        <v>38</v>
      </c>
      <c r="H9" s="3">
        <f>IF(B9=0,0,(C9+D9+E9+F9)*100/B9)</f>
        <v>16.964285714285715</v>
      </c>
      <c r="I9" s="3">
        <f>SUMIFS(Sentences!$M:$M,Sentences!$C:$C,"5")</f>
        <v>0</v>
      </c>
    </row>
    <row r="11" spans="1:9" ht="42.75" x14ac:dyDescent="0.25">
      <c r="A11" s="1" t="s">
        <v>541</v>
      </c>
    </row>
    <row r="12" spans="1:9" ht="120" customHeight="1" x14ac:dyDescent="0.25">
      <c r="A12" s="1" t="s">
        <v>531</v>
      </c>
      <c r="B12" s="1" t="s">
        <v>542</v>
      </c>
      <c r="C12" s="1" t="s">
        <v>543</v>
      </c>
      <c r="D12" s="1" t="s">
        <v>544</v>
      </c>
    </row>
    <row r="13" spans="1:9" x14ac:dyDescent="0.25">
      <c r="A13" s="3" t="s">
        <v>536</v>
      </c>
      <c r="B13" s="3">
        <f>COUNTIFS(Sentences!$C:$C,"1",Sentences!$G:$G,"doğru / правильно")</f>
        <v>22</v>
      </c>
      <c r="C13" s="3">
        <f>COUNTIFS(Sentences!$C:$C,"1",Sentences!$G:$G,"yanlış ama anlaşılır / понятно")</f>
        <v>11</v>
      </c>
      <c r="D13" s="3">
        <f>COUNTIFS(Sentences!$C:$C,"1",Sentences!$G:$G,"yanlış ve anlamsız / непонятно")</f>
        <v>0</v>
      </c>
    </row>
    <row r="14" spans="1:9" x14ac:dyDescent="0.25">
      <c r="A14" s="3" t="s">
        <v>537</v>
      </c>
      <c r="B14" s="3">
        <f>COUNTIFS(Sentences!$C:$C,"2",Sentences!$G:$G,"doğru / правильно")</f>
        <v>21</v>
      </c>
      <c r="C14" s="3">
        <f>COUNTIFS(Sentences!$C:$C,"2",Sentences!$G:$G,"yanlış ama anlaşılır / понятно")</f>
        <v>50</v>
      </c>
      <c r="D14" s="3">
        <f>COUNTIFS(Sentences!$C:$C,"2",Sentences!$G:$G,"yanlış ve anlamsız / непонятно")</f>
        <v>0</v>
      </c>
    </row>
    <row r="15" spans="1:9" x14ac:dyDescent="0.25">
      <c r="A15" s="3" t="s">
        <v>538</v>
      </c>
      <c r="B15" s="3">
        <f>COUNTIFS(Sentences!$C:$C,"3",Sentences!$G:$G,"doğru / правильно")</f>
        <v>8</v>
      </c>
      <c r="C15" s="3">
        <f>COUNTIFS(Sentences!$C:$C,"3",Sentences!$G:$G,"yanlış ama anlaşılır / понятно")</f>
        <v>24</v>
      </c>
      <c r="D15" s="3">
        <f>COUNTIFS(Sentences!$C:$C,"3",Sentences!$G:$G,"yanlış ve anlamsız / непонятно")</f>
        <v>0</v>
      </c>
    </row>
    <row r="16" spans="1:9" x14ac:dyDescent="0.25">
      <c r="A16" s="3" t="s">
        <v>539</v>
      </c>
      <c r="B16" s="3">
        <f>COUNTIFS(Sentences!$C:$C,"4",Sentences!$G:$G,"doğru / правильно")</f>
        <v>20</v>
      </c>
      <c r="C16" s="3">
        <f>COUNTIFS(Sentences!$C:$C,"4",Sentences!$G:$G,"yanlış ama anlaşılır / понятно")</f>
        <v>26</v>
      </c>
      <c r="D16" s="3">
        <f>COUNTIFS(Sentences!$C:$C,"4",Sentences!$G:$G,"yanlış ve anlamsız / непонятно")</f>
        <v>0</v>
      </c>
    </row>
    <row r="17" spans="1:4" x14ac:dyDescent="0.25">
      <c r="A17" s="3" t="s">
        <v>540</v>
      </c>
      <c r="B17" s="3">
        <f>COUNTIFS(Sentences!$C:$C,"5",Sentences!$G:$G,"doğru / правильно")</f>
        <v>23</v>
      </c>
      <c r="C17" s="3">
        <f>COUNTIFS(Sentences!$C:$C,"5",Sentences!$G:$G,"yanlış ama anlaşılır / понятно")</f>
        <v>20</v>
      </c>
      <c r="D17" s="3">
        <f>COUNTIFS(Sentences!$C:$C,"5",Sentences!$G:$G,"yanlış ve anlamsız / непонятно")</f>
        <v>0</v>
      </c>
    </row>
    <row r="19" spans="1:4" ht="42.75" x14ac:dyDescent="0.25">
      <c r="A19" s="1" t="s">
        <v>545</v>
      </c>
    </row>
    <row r="20" spans="1:4" ht="75" customHeight="1" x14ac:dyDescent="0.25">
      <c r="A20" s="1" t="s">
        <v>531</v>
      </c>
      <c r="B20" s="1" t="s">
        <v>546</v>
      </c>
      <c r="C20" s="1" t="s">
        <v>547</v>
      </c>
      <c r="D20" s="1" t="s">
        <v>548</v>
      </c>
    </row>
    <row r="21" spans="1:4" x14ac:dyDescent="0.25">
      <c r="A21" s="3" t="s">
        <v>536</v>
      </c>
      <c r="B21" s="3">
        <f>COUNTIFS(Responses!$C:$C,"1",Responses!$I:$I,"tam / полное")</f>
        <v>1</v>
      </c>
      <c r="C21" s="3">
        <f>COUNTIFS(Responses!$C:$C,"1",Responses!$I:$I,"kısmen / частичное")</f>
        <v>6</v>
      </c>
      <c r="D21" s="3">
        <f>COUNTIFS(Responses!$C:$C,"1",Responses!$I:$I,"uyum yok / нет")</f>
        <v>0</v>
      </c>
    </row>
    <row r="22" spans="1:4" x14ac:dyDescent="0.25">
      <c r="A22" s="3" t="s">
        <v>537</v>
      </c>
      <c r="B22" s="3">
        <f>COUNTIFS(Responses!$C:$C,"2",Responses!$I:$I,"tam / полное")</f>
        <v>0</v>
      </c>
      <c r="C22" s="3">
        <f>COUNTIFS(Responses!$C:$C,"2",Responses!$I:$I,"kısmen / частичное")</f>
        <v>7</v>
      </c>
      <c r="D22" s="3">
        <f>COUNTIFS(Responses!$C:$C,"2",Responses!$I:$I,"uyum yok / нет")</f>
        <v>0</v>
      </c>
    </row>
    <row r="23" spans="1:4" x14ac:dyDescent="0.25">
      <c r="A23" s="3" t="s">
        <v>538</v>
      </c>
      <c r="B23" s="3">
        <f>COUNTIFS(Responses!$C:$C,"3",Responses!$I:$I,"tam / полное")</f>
        <v>0</v>
      </c>
      <c r="C23" s="3">
        <f>COUNTIFS(Responses!$C:$C,"3",Responses!$I:$I,"kısmen / частичное")</f>
        <v>6</v>
      </c>
      <c r="D23" s="3">
        <f>COUNTIFS(Responses!$C:$C,"3",Responses!$I:$I,"uyum yok / нет")</f>
        <v>1</v>
      </c>
    </row>
    <row r="24" spans="1:4" x14ac:dyDescent="0.25">
      <c r="A24" s="3" t="s">
        <v>539</v>
      </c>
      <c r="B24" s="3">
        <f>COUNTIFS(Responses!$C:$C,"4",Responses!$I:$I,"tam / полное")</f>
        <v>0</v>
      </c>
      <c r="C24" s="3">
        <f>COUNTIFS(Responses!$C:$C,"4",Responses!$I:$I,"kısmen / частичное")</f>
        <v>7</v>
      </c>
      <c r="D24" s="3">
        <f>COUNTIFS(Responses!$C:$C,"4",Responses!$I:$I,"uyum yok / нет")</f>
        <v>0</v>
      </c>
    </row>
    <row r="25" spans="1:4" x14ac:dyDescent="0.25">
      <c r="A25" s="3" t="s">
        <v>540</v>
      </c>
      <c r="B25" s="3">
        <f>COUNTIFS(Responses!$C:$C,"5",Responses!$I:$I,"tam / полное")</f>
        <v>0</v>
      </c>
      <c r="C25" s="3">
        <f>COUNTIFS(Responses!$C:$C,"5",Responses!$I:$I,"kısmen / частичное")</f>
        <v>7</v>
      </c>
      <c r="D25" s="3">
        <f>COUNTIFS(Responses!$C:$C,"5",Responses!$I:$I,"uyum yok / нет")</f>
        <v>0</v>
      </c>
    </row>
    <row r="27" spans="1:4" ht="42.75" x14ac:dyDescent="0.25">
      <c r="A27" s="1" t="s">
        <v>549</v>
      </c>
    </row>
    <row r="28" spans="1:4" ht="75" customHeight="1" x14ac:dyDescent="0.25">
      <c r="A28" s="1" t="s">
        <v>531</v>
      </c>
      <c r="B28" s="1" t="s">
        <v>550</v>
      </c>
      <c r="C28" s="1" t="s">
        <v>551</v>
      </c>
      <c r="D28" s="1" t="s">
        <v>552</v>
      </c>
    </row>
    <row r="29" spans="1:4" x14ac:dyDescent="0.25">
      <c r="A29" s="3" t="s">
        <v>536</v>
      </c>
      <c r="B29" s="3">
        <f>COUNTIFS(Responses!$C:$C,"1",Responses!$J:$J,"karşıladı / отвечает")</f>
        <v>3</v>
      </c>
      <c r="C29" s="3">
        <f>COUNTIFS(Responses!$C:$C,"1",Responses!$J:$J,"kısmen karşıladı / частично")</f>
        <v>4</v>
      </c>
      <c r="D29" s="3">
        <f>COUNTIFS(Responses!$C:$C,"1",Responses!$J:$J,"alakasız / не по теме")</f>
        <v>0</v>
      </c>
    </row>
    <row r="30" spans="1:4" x14ac:dyDescent="0.25">
      <c r="A30" s="3" t="s">
        <v>537</v>
      </c>
      <c r="B30" s="3">
        <f>COUNTIFS(Responses!$C:$C,"2",Responses!$J:$J,"karşıladı / отвечает")</f>
        <v>6</v>
      </c>
      <c r="C30" s="3">
        <f>COUNTIFS(Responses!$C:$C,"2",Responses!$J:$J,"kısmen karşıladı / частично")</f>
        <v>1</v>
      </c>
      <c r="D30" s="3">
        <f>COUNTIFS(Responses!$C:$C,"2",Responses!$J:$J,"alakasız / не по теме")</f>
        <v>0</v>
      </c>
    </row>
    <row r="31" spans="1:4" x14ac:dyDescent="0.25">
      <c r="A31" s="3" t="s">
        <v>538</v>
      </c>
      <c r="B31" s="3">
        <f>COUNTIFS(Responses!$C:$C,"3",Responses!$J:$J,"karşıladı / отвечает")</f>
        <v>4</v>
      </c>
      <c r="C31" s="3">
        <f>COUNTIFS(Responses!$C:$C,"3",Responses!$J:$J,"kısmen karşıladı / частично")</f>
        <v>2</v>
      </c>
      <c r="D31" s="3">
        <f>COUNTIFS(Responses!$C:$C,"3",Responses!$J:$J,"alakasız / не по теме")</f>
        <v>1</v>
      </c>
    </row>
    <row r="32" spans="1:4" x14ac:dyDescent="0.25">
      <c r="A32" s="3" t="s">
        <v>539</v>
      </c>
      <c r="B32" s="3">
        <f>COUNTIFS(Responses!$C:$C,"4",Responses!$J:$J,"karşıladı / отвечает")</f>
        <v>5</v>
      </c>
      <c r="C32" s="3">
        <f>COUNTIFS(Responses!$C:$C,"4",Responses!$J:$J,"kısmen karşıladı / частично")</f>
        <v>2</v>
      </c>
      <c r="D32" s="3">
        <f>COUNTIFS(Responses!$C:$C,"4",Responses!$J:$J,"alakasız / не по теме")</f>
        <v>0</v>
      </c>
    </row>
    <row r="33" spans="1:7" x14ac:dyDescent="0.25">
      <c r="A33" s="3" t="s">
        <v>540</v>
      </c>
      <c r="B33" s="3">
        <f>COUNTIFS(Responses!$C:$C,"5",Responses!$J:$J,"karşıladı / отвечает")</f>
        <v>5</v>
      </c>
      <c r="C33" s="3">
        <f>COUNTIFS(Responses!$C:$C,"5",Responses!$J:$J,"kısmen karşıladı / частично")</f>
        <v>2</v>
      </c>
      <c r="D33" s="3">
        <f>COUNTIFS(Responses!$C:$C,"5",Responses!$J:$J,"alakasız / не по теме")</f>
        <v>0</v>
      </c>
    </row>
    <row r="35" spans="1:7" ht="28.5" x14ac:dyDescent="0.25">
      <c r="A35" s="1" t="s">
        <v>553</v>
      </c>
    </row>
    <row r="36" spans="1:7" ht="142.5" x14ac:dyDescent="0.25">
      <c r="A36" s="2" t="s">
        <v>554</v>
      </c>
      <c r="B36" s="3">
        <f>COUNTIF(Sentences!$L:$L,"&lt;0")</f>
        <v>0</v>
      </c>
    </row>
    <row r="38" spans="1:7" ht="42.75" x14ac:dyDescent="0.25">
      <c r="A38" s="1" t="s">
        <v>555</v>
      </c>
    </row>
    <row r="39" spans="1:7" ht="195" customHeight="1" x14ac:dyDescent="0.25">
      <c r="A39" s="1" t="s">
        <v>531</v>
      </c>
      <c r="B39" s="1" t="s">
        <v>556</v>
      </c>
      <c r="C39" s="1" t="s">
        <v>557</v>
      </c>
      <c r="D39" s="1" t="s">
        <v>558</v>
      </c>
    </row>
    <row r="40" spans="1:7" x14ac:dyDescent="0.25">
      <c r="A40" s="3" t="s">
        <v>536</v>
      </c>
      <c r="B40" s="3">
        <f>COUNTIFS(Responses!$C:$C,"1",Responses!$L:$L,"iki metni de işlemiştir / обработал оба текста")</f>
        <v>0</v>
      </c>
      <c r="C40" s="3">
        <f>COUNTIFS(Responses!$C:$C,"1",Responses!$L:$L,"metinleri hizalamamıştır / не сопоставил тексты")</f>
        <v>1</v>
      </c>
      <c r="D40" s="3">
        <f>COUNTIFS(Responses!$C:$C,"1",Responses!$L:$L,"olmayan bir fark uydurmuştur (halüsinasyon) / придумал несуществующее различие (галлюцинация)")</f>
        <v>0</v>
      </c>
    </row>
    <row r="41" spans="1:7" x14ac:dyDescent="0.25">
      <c r="A41" s="3" t="s">
        <v>537</v>
      </c>
      <c r="B41" s="3">
        <f>COUNTIFS(Responses!$C:$C,"2",Responses!$L:$L,"iki metni de işlemiştir / обработал оба текста")</f>
        <v>1</v>
      </c>
      <c r="C41" s="3">
        <f>COUNTIFS(Responses!$C:$C,"2",Responses!$L:$L,"metinleri hizalamamıştır / не сопоставил тексты")</f>
        <v>0</v>
      </c>
      <c r="D41" s="3">
        <f>COUNTIFS(Responses!$C:$C,"2",Responses!$L:$L,"olmayan bir fark uydurmuştur (halüsinasyon) / придумал несуществующее различие (галлюцинация)")</f>
        <v>0</v>
      </c>
    </row>
    <row r="42" spans="1:7" x14ac:dyDescent="0.25">
      <c r="A42" s="3" t="s">
        <v>538</v>
      </c>
      <c r="B42" s="3">
        <f>COUNTIFS(Responses!$C:$C,"3",Responses!$L:$L,"iki metni de işlemiştir / обработал оба текста")</f>
        <v>1</v>
      </c>
      <c r="C42" s="3">
        <f>COUNTIFS(Responses!$C:$C,"3",Responses!$L:$L,"metinleri hizalamamıştır / не сопоставил тексты")</f>
        <v>0</v>
      </c>
      <c r="D42" s="3">
        <f>COUNTIFS(Responses!$C:$C,"3",Responses!$L:$L,"olmayan bir fark uydurmuştur (halüsinasyon) / придумал несуществующее различие (галлюцинация)")</f>
        <v>0</v>
      </c>
    </row>
    <row r="43" spans="1:7" x14ac:dyDescent="0.25">
      <c r="A43" s="3" t="s">
        <v>539</v>
      </c>
      <c r="B43" s="3">
        <f>COUNTIFS(Responses!$C:$C,"4",Responses!$L:$L,"iki metni de işlemiştir / обработал оба текста")</f>
        <v>1</v>
      </c>
      <c r="C43" s="3">
        <f>COUNTIFS(Responses!$C:$C,"4",Responses!$L:$L,"metinleri hizalamamıştır / не сопоставил тексты")</f>
        <v>0</v>
      </c>
      <c r="D43" s="3">
        <f>COUNTIFS(Responses!$C:$C,"4",Responses!$L:$L,"olmayan bir fark uydurmuştur (halüsinasyon) / придумал несуществующее различие (галлюцинация)")</f>
        <v>0</v>
      </c>
    </row>
    <row r="44" spans="1:7" x14ac:dyDescent="0.25">
      <c r="A44" s="3" t="s">
        <v>540</v>
      </c>
      <c r="B44" s="3">
        <f>COUNTIFS(Responses!$C:$C,"5",Responses!$L:$L,"iki metni de işlemiştir / обработал оба текста")</f>
        <v>1</v>
      </c>
      <c r="C44" s="3">
        <f>COUNTIFS(Responses!$C:$C,"5",Responses!$L:$L,"metinleri hizalamamıştır / не сопоставил тексты")</f>
        <v>0</v>
      </c>
      <c r="D44" s="3">
        <f>COUNTIFS(Responses!$C:$C,"5",Responses!$L:$L,"olmayan bir fark uydurmuştur (halüsinasyon) / придумал несуществующее различие (галлюцинация)")</f>
        <v>0</v>
      </c>
    </row>
    <row r="46" spans="1:7" ht="42.75" x14ac:dyDescent="0.25">
      <c r="A46" s="1" t="s">
        <v>559</v>
      </c>
    </row>
    <row r="47" spans="1:7" ht="75" customHeight="1" x14ac:dyDescent="0.25">
      <c r="A47" s="1" t="s">
        <v>531</v>
      </c>
      <c r="B47" s="1" t="s">
        <v>302</v>
      </c>
      <c r="C47" s="1" t="s">
        <v>303</v>
      </c>
      <c r="D47" s="1" t="s">
        <v>304</v>
      </c>
      <c r="E47" s="1" t="s">
        <v>305</v>
      </c>
      <c r="F47" s="1" t="s">
        <v>306</v>
      </c>
      <c r="G47" s="1" t="s">
        <v>560</v>
      </c>
    </row>
    <row r="48" spans="1:7" x14ac:dyDescent="0.25">
      <c r="A48" s="3" t="s">
        <v>536</v>
      </c>
      <c r="B48" s="3">
        <f>SUMIFS(Sentences!$N:$N,Sentences!$C:$C,"1")</f>
        <v>3</v>
      </c>
      <c r="C48" s="3">
        <f>SUMIFS(Sentences!$O:$O,Sentences!$C:$C,"1")</f>
        <v>0</v>
      </c>
      <c r="D48" s="3">
        <f>SUMIFS(Sentences!$P:$P,Sentences!$C:$C,"1")</f>
        <v>0</v>
      </c>
      <c r="E48" s="3">
        <f>SUMIFS(Sentences!$Q:$Q,Sentences!$C:$C,"1")</f>
        <v>0</v>
      </c>
      <c r="F48" s="3">
        <f>SUMIFS(Sentences!$R:$R,Sentences!$C:$C,"1")</f>
        <v>0</v>
      </c>
      <c r="G48" s="3">
        <f>SUMIFS(Sentences!$S:$S,Sentences!$C:$C,"1")</f>
        <v>3</v>
      </c>
    </row>
    <row r="49" spans="1:7" x14ac:dyDescent="0.25">
      <c r="A49" s="3" t="s">
        <v>537</v>
      </c>
      <c r="B49" s="3">
        <f>SUMIFS(Sentences!$N:$N,Sentences!$C:$C,"2")</f>
        <v>17</v>
      </c>
      <c r="C49" s="3">
        <f>SUMIFS(Sentences!$O:$O,Sentences!$C:$C,"2")</f>
        <v>3</v>
      </c>
      <c r="D49" s="3">
        <f>SUMIFS(Sentences!$P:$P,Sentences!$C:$C,"2")</f>
        <v>2</v>
      </c>
      <c r="E49" s="3">
        <f>SUMIFS(Sentences!$Q:$Q,Sentences!$C:$C,"2")</f>
        <v>0</v>
      </c>
      <c r="F49" s="3">
        <f>SUMIFS(Sentences!$R:$R,Sentences!$C:$C,"2")</f>
        <v>0</v>
      </c>
      <c r="G49" s="3">
        <f>SUMIFS(Sentences!$S:$S,Sentences!$C:$C,"2")</f>
        <v>22</v>
      </c>
    </row>
    <row r="50" spans="1:7" x14ac:dyDescent="0.25">
      <c r="A50" s="3" t="s">
        <v>538</v>
      </c>
      <c r="B50" s="3">
        <f>SUMIFS(Sentences!$N:$N,Sentences!$C:$C,"3")</f>
        <v>5</v>
      </c>
      <c r="C50" s="3">
        <f>SUMIFS(Sentences!$O:$O,Sentences!$C:$C,"3")</f>
        <v>0</v>
      </c>
      <c r="D50" s="3">
        <f>SUMIFS(Sentences!$P:$P,Sentences!$C:$C,"3")</f>
        <v>0</v>
      </c>
      <c r="E50" s="3">
        <f>SUMIFS(Sentences!$Q:$Q,Sentences!$C:$C,"3")</f>
        <v>0</v>
      </c>
      <c r="F50" s="3">
        <f>SUMIFS(Sentences!$R:$R,Sentences!$C:$C,"3")</f>
        <v>0</v>
      </c>
      <c r="G50" s="3">
        <f>SUMIFS(Sentences!$S:$S,Sentences!$C:$C,"3")</f>
        <v>5</v>
      </c>
    </row>
    <row r="51" spans="1:7" x14ac:dyDescent="0.25">
      <c r="A51" s="3" t="s">
        <v>539</v>
      </c>
      <c r="B51" s="3">
        <f>SUMIFS(Sentences!$N:$N,Sentences!$C:$C,"4")</f>
        <v>26</v>
      </c>
      <c r="C51" s="3">
        <f>SUMIFS(Sentences!$O:$O,Sentences!$C:$C,"4")</f>
        <v>0</v>
      </c>
      <c r="D51" s="3">
        <f>SUMIFS(Sentences!$P:$P,Sentences!$C:$C,"4")</f>
        <v>0</v>
      </c>
      <c r="E51" s="3">
        <f>SUMIFS(Sentences!$Q:$Q,Sentences!$C:$C,"4")</f>
        <v>0</v>
      </c>
      <c r="F51" s="3">
        <f>SUMIFS(Sentences!$R:$R,Sentences!$C:$C,"4")</f>
        <v>0</v>
      </c>
      <c r="G51" s="3">
        <f>SUMIFS(Sentences!$S:$S,Sentences!$C:$C,"4")</f>
        <v>26</v>
      </c>
    </row>
    <row r="52" spans="1:7" x14ac:dyDescent="0.25">
      <c r="A52" s="3" t="s">
        <v>540</v>
      </c>
      <c r="B52" s="3">
        <f>SUMIFS(Sentences!$N:$N,Sentences!$C:$C,"5")</f>
        <v>1</v>
      </c>
      <c r="C52" s="3">
        <f>SUMIFS(Sentences!$O:$O,Sentences!$C:$C,"5")</f>
        <v>0</v>
      </c>
      <c r="D52" s="3">
        <f>SUMIFS(Sentences!$P:$P,Sentences!$C:$C,"5")</f>
        <v>0</v>
      </c>
      <c r="E52" s="3">
        <f>SUMIFS(Sentences!$Q:$Q,Sentences!$C:$C,"5")</f>
        <v>0</v>
      </c>
      <c r="F52" s="3">
        <f>SUMIFS(Sentences!$R:$R,Sentences!$C:$C,"5")</f>
        <v>0</v>
      </c>
      <c r="G52" s="3">
        <f>SUMIFS(Sentences!$S:$S,Sentences!$C:$C,"5")</f>
        <v>1</v>
      </c>
    </row>
    <row r="54" spans="1:7" ht="28.5" x14ac:dyDescent="0.25">
      <c r="A54" s="1" t="s">
        <v>561</v>
      </c>
    </row>
    <row r="55" spans="1:7" ht="60" customHeight="1" x14ac:dyDescent="0.25">
      <c r="A55" s="1" t="s">
        <v>562</v>
      </c>
      <c r="B55" s="1" t="s">
        <v>563</v>
      </c>
      <c r="C55" s="1" t="s">
        <v>560</v>
      </c>
    </row>
    <row r="56" spans="1:7" ht="42.75" x14ac:dyDescent="0.25">
      <c r="A56" s="2" t="s">
        <v>564</v>
      </c>
      <c r="B56" s="3">
        <f>COUNTIF(Responses!$K:$K,"evet / да")</f>
        <v>35</v>
      </c>
      <c r="C56" s="3">
        <f>COUNTA(Responses!$A:$A)-1</f>
        <v>35</v>
      </c>
    </row>
    <row r="57" spans="1:7" ht="42.75" x14ac:dyDescent="0.25">
      <c r="A57" s="2" t="s">
        <v>565</v>
      </c>
      <c r="B57" s="3">
        <f>COUNTA(Sentences!$G:$G)-1</f>
        <v>225</v>
      </c>
      <c r="C57" s="3">
        <f>COUNTA(Sentences!$A:$A)-1</f>
        <v>250</v>
      </c>
    </row>
    <row r="58" spans="1:7" ht="42.75" x14ac:dyDescent="0.25">
      <c r="A58" s="2" t="s">
        <v>566</v>
      </c>
      <c r="B58" s="3">
        <f>COUNTIF(Responses!$K:$K,"hayır / нет")</f>
        <v>0</v>
      </c>
      <c r="C58" s="3">
        <f>COUNTA(Responses!$A:$A)-1</f>
        <v>35</v>
      </c>
    </row>
  </sheetData>
  <sheetProtection sheet="1" objects="1" scenarios="1" formatColumns="0" formatRows="0"/>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Responses</vt:lpstr>
      <vt:lpstr>Sentences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Ugur Nemlioglu</cp:lastModifiedBy>
  <dcterms:modified xsi:type="dcterms:W3CDTF">2026-10-25T13:37:46Z</dcterms:modified>
</cp:coreProperties>
</file>